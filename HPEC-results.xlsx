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620" windowHeight="17120" tabRatio="600" firstSheet="1" activeTab="2" autoFilterDateGrouping="1"/>
  </bookViews>
  <sheets>
    <sheet name="charts" sheetId="1" state="visible" r:id="rId1"/>
    <sheet name="Stats" sheetId="2" state="visible" r:id="rId2"/>
    <sheet name="plot1-2" sheetId="3" state="visible" r:id="rId3"/>
    <sheet name="PA_CPU-Prof" sheetId="4" state="visible" r:id="rId4"/>
    <sheet name="PA-GPU-Prof" sheetId="5" state="visible" r:id="rId5"/>
    <sheet name="plot2-scalability" sheetId="6" state="visible" r:id="rId6"/>
    <sheet name="plot3-ER-p" sheetId="7" state="visible" r:id="rId7"/>
    <sheet name="plot3-10YER-p" sheetId="8" state="visible" r:id="rId8"/>
    <sheet name="plot-ER-30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Menlo"/>
      <family val="2"/>
      <color rgb="FF000000"/>
      <sz val="11"/>
    </font>
    <font>
      <name val="Aptos Narrow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8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"/>
  <sheetViews>
    <sheetView workbookViewId="0">
      <selection activeCell="C7" sqref="C7"/>
    </sheetView>
  </sheetViews>
  <sheetFormatPr baseColWidth="10" defaultRowHeight="16"/>
  <cols>
    <col width="32.1640625" customWidth="1" min="2" max="2"/>
    <col width="45.1640625" customWidth="1" min="3" max="3"/>
  </cols>
  <sheetData>
    <row r="2">
      <c r="A2" t="inlineStr">
        <is>
          <t>Plot/Fig</t>
        </is>
      </c>
    </row>
    <row r="3">
      <c r="A3" s="1" t="inlineStr">
        <is>
          <t>1a</t>
        </is>
      </c>
      <c r="B3" t="inlineStr">
        <is>
          <t>percentage growth vs runtime</t>
        </is>
      </c>
      <c r="C3" t="inlineStr">
        <is>
          <t>CPU-serial as base and cpu 4 threads, 16 threads, gpu-optimal, mass_cuda</t>
        </is>
      </c>
    </row>
    <row r="4">
      <c r="A4" t="inlineStr">
        <is>
          <t>1b</t>
        </is>
      </c>
      <c r="B4" t="inlineStr">
        <is>
          <t>percentage growth vs speedup</t>
        </is>
      </c>
      <c r="C4" t="inlineStr">
        <is>
          <t>CPU-serial as base and cpu 4 threads, 16 threads, gpu-optimal, mass_cuda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8"/>
  <sheetViews>
    <sheetView topLeftCell="D1" workbookViewId="0">
      <selection activeCell="J30" sqref="J30"/>
    </sheetView>
  </sheetViews>
  <sheetFormatPr baseColWidth="10" defaultRowHeight="16"/>
  <cols>
    <col width="9.5" customWidth="1" min="3" max="3"/>
    <col width="11.5" customWidth="1" min="4" max="4"/>
    <col width="11.33203125" customWidth="1" min="5" max="5"/>
    <col width="11" customWidth="1" min="6" max="6"/>
    <col width="12.1640625" customWidth="1" min="7" max="7"/>
    <col width="11.5" customWidth="1" min="8" max="8"/>
    <col width="11" customWidth="1" min="9" max="9"/>
    <col width="13.1640625" customWidth="1" min="10" max="10"/>
    <col width="15" customWidth="1" min="11" max="11"/>
    <col width="17.5" customWidth="1" min="13" max="13"/>
  </cols>
  <sheetData>
    <row r="1">
      <c r="A1" t="inlineStr">
        <is>
          <t>Stats</t>
        </is>
      </c>
    </row>
    <row r="2">
      <c r="A2" t="inlineStr">
        <is>
          <t>SJ</t>
        </is>
      </c>
      <c r="B2" t="inlineStr">
        <is>
          <t>Previous</t>
        </is>
      </c>
    </row>
    <row r="3">
      <c r="A3" t="inlineStr">
        <is>
          <t>PA</t>
        </is>
      </c>
    </row>
    <row r="4">
      <c r="C4" t="inlineStr">
        <is>
          <t>3y</t>
        </is>
      </c>
      <c r="D4" t="inlineStr">
        <is>
          <t>3y</t>
        </is>
      </c>
      <c r="E4" t="inlineStr">
        <is>
          <t>3y</t>
        </is>
      </c>
      <c r="F4" t="inlineStr">
        <is>
          <t>10y</t>
        </is>
      </c>
      <c r="G4" t="inlineStr">
        <is>
          <t>10y</t>
        </is>
      </c>
      <c r="H4" t="inlineStr">
        <is>
          <t>10y</t>
        </is>
      </c>
      <c r="I4" s="4" t="inlineStr">
        <is>
          <t>30y</t>
        </is>
      </c>
      <c r="J4" s="4" t="inlineStr">
        <is>
          <t>30y</t>
        </is>
      </c>
      <c r="K4" s="4" t="inlineStr">
        <is>
          <t>30y</t>
        </is>
      </c>
    </row>
    <row r="5">
      <c r="C5" s="2" t="n">
        <v>0.01</v>
      </c>
      <c r="D5" s="2" t="n">
        <v>0.03</v>
      </c>
      <c r="E5" s="2" t="n">
        <v>0.06</v>
      </c>
      <c r="F5" s="2" t="n">
        <v>0.01</v>
      </c>
      <c r="G5" s="2" t="n">
        <v>0.03</v>
      </c>
      <c r="H5" s="2" t="n">
        <v>0.06</v>
      </c>
      <c r="I5" s="2" t="n">
        <v>0.01</v>
      </c>
      <c r="J5" s="2" t="n">
        <v>0.03</v>
      </c>
      <c r="K5" s="2" t="n">
        <v>0.06</v>
      </c>
    </row>
    <row r="6"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B7" t="inlineStr">
        <is>
          <t>Node Count</t>
        </is>
      </c>
      <c r="C7" s="3" t="n">
        <v>506428</v>
      </c>
      <c r="D7" s="3" t="n">
        <v>537112</v>
      </c>
      <c r="E7" s="3" t="n">
        <v>585424</v>
      </c>
      <c r="F7" s="3" t="n">
        <v>542962</v>
      </c>
      <c r="G7" s="3" t="n">
        <v>660583</v>
      </c>
      <c r="H7" s="3" t="n">
        <v>880264</v>
      </c>
      <c r="I7" s="3" t="n">
        <v>662527</v>
      </c>
      <c r="J7" s="3" t="n">
        <v>1193102</v>
      </c>
      <c r="K7" s="3" t="n">
        <v>2823139</v>
      </c>
    </row>
    <row r="8">
      <c r="B8" t="inlineStr">
        <is>
          <t>edge count</t>
        </is>
      </c>
      <c r="C8" s="3" t="n">
        <v>882803</v>
      </c>
      <c r="D8" s="3" t="n">
        <v>1354299</v>
      </c>
      <c r="E8" s="3" t="n">
        <v>2048144</v>
      </c>
      <c r="F8" s="3" t="n">
        <v>1425190</v>
      </c>
      <c r="G8" s="3" t="n">
        <v>3104802</v>
      </c>
      <c r="H8" s="3" t="n">
        <v>6252966</v>
      </c>
      <c r="I8" s="3" t="n">
        <v>3033550</v>
      </c>
      <c r="J8" s="3" t="n">
        <v>10795538</v>
      </c>
      <c r="K8" s="3" t="n">
        <v>33798215</v>
      </c>
      <c r="M8" t="inlineStr">
        <is>
          <t>found in newton /scratch2</t>
        </is>
      </c>
    </row>
    <row r="9">
      <c r="A9" t="inlineStr">
        <is>
          <t>ER</t>
        </is>
      </c>
      <c r="I9" s="4" t="n"/>
      <c r="J9" s="4" t="n"/>
      <c r="K9" s="4" t="n"/>
    </row>
    <row r="10">
      <c r="C10" t="inlineStr">
        <is>
          <t>3y</t>
        </is>
      </c>
      <c r="D10" t="inlineStr">
        <is>
          <t>3y</t>
        </is>
      </c>
      <c r="E10" t="inlineStr">
        <is>
          <t>3y</t>
        </is>
      </c>
      <c r="F10" t="inlineStr">
        <is>
          <t>10y</t>
        </is>
      </c>
      <c r="G10" t="inlineStr">
        <is>
          <t>10y</t>
        </is>
      </c>
      <c r="H10" t="inlineStr">
        <is>
          <t>10y</t>
        </is>
      </c>
      <c r="I10" s="4" t="inlineStr">
        <is>
          <t>30y</t>
        </is>
      </c>
      <c r="J10" s="4" t="inlineStr">
        <is>
          <t>30y</t>
        </is>
      </c>
      <c r="K10" s="4" t="inlineStr">
        <is>
          <t>30y</t>
        </is>
      </c>
      <c r="P10" s="2" t="inlineStr">
        <is>
          <t>3y-6%</t>
        </is>
      </c>
    </row>
    <row r="11">
      <c r="A11" t="inlineStr">
        <is>
          <t>p</t>
        </is>
      </c>
      <c r="C11" s="2" t="n">
        <v>0.01</v>
      </c>
      <c r="D11" s="2" t="n">
        <v>0.03</v>
      </c>
      <c r="E11" s="2" t="n">
        <v>0.06</v>
      </c>
      <c r="F11" s="2" t="n">
        <v>0.01</v>
      </c>
      <c r="G11" s="2" t="n">
        <v>0.03</v>
      </c>
      <c r="H11" s="2" t="n">
        <v>0.06</v>
      </c>
      <c r="I11" s="2" t="n">
        <v>0.01</v>
      </c>
      <c r="J11" s="2" t="n">
        <v>0.03</v>
      </c>
      <c r="K11" s="2" t="n">
        <v>0.06</v>
      </c>
      <c r="P11" t="inlineStr">
        <is>
          <t>TOTALS:</t>
        </is>
      </c>
    </row>
    <row r="12">
      <c r="A12" t="n">
        <v>0.0001</v>
      </c>
      <c r="B12" t="inlineStr">
        <is>
          <t>Node Count</t>
        </is>
      </c>
      <c r="C12" s="3" t="n">
        <v>506429</v>
      </c>
      <c r="D12" s="3" t="n">
        <v>537113</v>
      </c>
      <c r="E12" s="3" t="n">
        <v>585425</v>
      </c>
      <c r="F12" s="3" t="n">
        <v>542963</v>
      </c>
      <c r="G12" s="3" t="n">
        <v>660584</v>
      </c>
      <c r="H12" s="3" t="n">
        <v>880265</v>
      </c>
      <c r="I12" s="3" t="n">
        <v>662528</v>
      </c>
      <c r="J12" s="3" t="n">
        <v>1193103</v>
      </c>
      <c r="K12" s="3" t="n">
        <v>2823140</v>
      </c>
      <c r="P12" t="inlineStr">
        <is>
          <t xml:space="preserve">  CPU preprocessing              :     3527.6 ms  (  4.7% of sim)</t>
        </is>
      </c>
    </row>
    <row r="13">
      <c r="A13" t="n">
        <v>0.0001</v>
      </c>
      <c r="B13" t="inlineStr">
        <is>
          <t>edge count</t>
        </is>
      </c>
      <c r="C13" s="3" t="n">
        <v>1637221</v>
      </c>
      <c r="D13" s="3" t="n">
        <v>3207064</v>
      </c>
      <c r="E13" s="3" t="n">
        <v>5806268</v>
      </c>
      <c r="F13" s="3" t="n">
        <v>3546449</v>
      </c>
      <c r="G13" s="3" t="n">
        <v>10488400</v>
      </c>
      <c r="H13" s="3" t="n">
        <v>26778688</v>
      </c>
      <c r="I13" s="3" t="n">
        <v>10720098</v>
      </c>
      <c r="J13" s="3" t="n">
        <v>59110393</v>
      </c>
      <c r="K13" s="3" t="n">
        <v>376059146</v>
      </c>
      <c r="P13" t="inlineStr">
        <is>
          <t xml:space="preserve">  Citation loop                  :    66122.5 ms  ( 88.7%)</t>
        </is>
      </c>
    </row>
    <row r="14">
      <c r="A14" t="n">
        <v>0.0003</v>
      </c>
      <c r="B14" t="inlineStr">
        <is>
          <t>Node Count</t>
        </is>
      </c>
      <c r="C14" s="3" t="n">
        <v>506429</v>
      </c>
      <c r="D14" s="3" t="n">
        <v>537113</v>
      </c>
      <c r="E14" s="3" t="n">
        <v>585425</v>
      </c>
      <c r="F14" s="3" t="n">
        <v>542963</v>
      </c>
      <c r="G14" s="3" t="n">
        <v>660584</v>
      </c>
      <c r="H14" s="3" t="n">
        <v>880265</v>
      </c>
      <c r="I14" s="3" t="n">
        <v>662528</v>
      </c>
      <c r="J14" s="3" t="n">
        <v>1193103</v>
      </c>
      <c r="K14" s="3" t="n">
        <v>2823140</v>
      </c>
      <c r="P14" t="inlineStr">
        <is>
          <t xml:space="preserve">  Edge commit                    :     4464.9 ms  (  6.0%)</t>
        </is>
      </c>
    </row>
    <row r="15">
      <c r="A15" t="n">
        <v>0.0003</v>
      </c>
      <c r="B15" t="inlineStr">
        <is>
          <t>edge count</t>
        </is>
      </c>
      <c r="C15" s="3" t="n">
        <v>3115991</v>
      </c>
      <c r="D15" s="3" t="n">
        <v>7823894</v>
      </c>
      <c r="E15" s="3" t="n">
        <v>15619953</v>
      </c>
      <c r="F15" s="3" t="n">
        <v>8841331</v>
      </c>
      <c r="G15" s="3" t="n">
        <v>29679724</v>
      </c>
      <c r="H15" s="3" t="n">
        <v>78553947</v>
      </c>
      <c r="I15" s="3" t="n">
        <v>30362302</v>
      </c>
      <c r="J15" s="3" t="n">
        <v>175566760</v>
      </c>
      <c r="K15" s="3" t="n">
        <v>1126429792</v>
      </c>
      <c r="P15" t="inlineStr">
        <is>
          <t xml:space="preserve">  Fitness assign                 :       55.7 ms  (  0.1%)</t>
        </is>
      </c>
    </row>
    <row r="16">
      <c r="A16" t="n">
        <v>0.0005</v>
      </c>
      <c r="B16" t="inlineStr">
        <is>
          <t>Node Count</t>
        </is>
      </c>
      <c r="C16" s="3" t="n">
        <v>506429</v>
      </c>
      <c r="D16" s="3" t="n">
        <v>537113</v>
      </c>
      <c r="E16" s="3" t="n">
        <v>585425</v>
      </c>
      <c r="F16" s="3" t="n">
        <v>542963</v>
      </c>
      <c r="G16" s="3" t="n">
        <v>660584</v>
      </c>
      <c r="H16" s="3" t="n">
        <v>880265</v>
      </c>
      <c r="I16" s="3" t="n">
        <v>662528</v>
      </c>
      <c r="J16" s="3" t="n">
        <v>1193103</v>
      </c>
      <c r="K16" s="3" t="n">
        <v>2823140</v>
      </c>
      <c r="P16" t="inlineStr">
        <is>
          <t xml:space="preserve">  Simulation total               :    74557.4 ms</t>
        </is>
      </c>
    </row>
    <row r="17">
      <c r="A17" t="n">
        <v>0.0005</v>
      </c>
      <c r="B17" t="inlineStr">
        <is>
          <t>edge count</t>
        </is>
      </c>
      <c r="C17" s="3" t="n">
        <v>4595485</v>
      </c>
      <c r="D17" s="3" t="n">
        <v>12443818</v>
      </c>
      <c r="E17" s="3" t="n">
        <v>25437720</v>
      </c>
      <c r="F17" s="3" t="n">
        <v>14134715</v>
      </c>
      <c r="G17" s="3" t="n">
        <v>48870895</v>
      </c>
      <c r="H17" s="3" t="n">
        <v>130336331</v>
      </c>
      <c r="I17" s="3" t="n">
        <v>49996288</v>
      </c>
      <c r="J17" s="3" t="n">
        <v>292016228</v>
      </c>
      <c r="K17" s="3" t="n">
        <v>1876804945</v>
      </c>
      <c r="P17" t="inlineStr">
        <is>
          <t xml:space="preserve">  Output write                   :     4825.1 ms</t>
        </is>
      </c>
    </row>
    <row r="18">
      <c r="A18" t="n">
        <v>0.001</v>
      </c>
      <c r="B18" t="inlineStr">
        <is>
          <t>Node Count</t>
        </is>
      </c>
      <c r="C18" s="3" t="n">
        <v>506429</v>
      </c>
      <c r="D18" s="3" t="n">
        <v>537113</v>
      </c>
      <c r="E18" s="3" t="n">
        <v>585425</v>
      </c>
      <c r="F18" s="3" t="n">
        <v>542963</v>
      </c>
      <c r="G18" s="3" t="n">
        <v>660584</v>
      </c>
      <c r="H18" s="3" t="n">
        <v>880265</v>
      </c>
      <c r="I18" s="3" t="n">
        <v>662528</v>
      </c>
      <c r="J18" s="3" t="n">
        <v>1193103</v>
      </c>
      <c r="K18" s="3" t="n">
        <v>2823140</v>
      </c>
      <c r="P18" t="inlineStr">
        <is>
          <t xml:space="preserve">  E2E total                      :    83588.0 ms</t>
        </is>
      </c>
    </row>
    <row r="19">
      <c r="A19" t="n">
        <v>0.001</v>
      </c>
      <c r="B19" t="inlineStr">
        <is>
          <t>edge count</t>
        </is>
      </c>
      <c r="C19" s="3" t="n">
        <v>8290622</v>
      </c>
      <c r="D19" s="3" t="n">
        <v>23988786</v>
      </c>
      <c r="E19" s="3" t="n">
        <v>49974729</v>
      </c>
      <c r="F19" s="3" t="n">
        <v>27365481</v>
      </c>
      <c r="G19" s="3" t="n">
        <v>96843047</v>
      </c>
      <c r="H19" s="3" t="n">
        <v>259770784</v>
      </c>
      <c r="I19" s="3" t="n">
        <v>99076914</v>
      </c>
      <c r="J19" s="3" t="n">
        <v>583125152</v>
      </c>
      <c r="K19" s="3" t="n">
        <v>3752614041</v>
      </c>
    </row>
    <row r="23">
      <c r="A23" t="inlineStr">
        <is>
          <t>SJ</t>
        </is>
      </c>
    </row>
    <row r="24">
      <c r="A24" t="inlineStr">
        <is>
          <t>PA</t>
        </is>
      </c>
    </row>
    <row r="25">
      <c r="C25" t="inlineStr">
        <is>
          <t>3y</t>
        </is>
      </c>
      <c r="D25" t="inlineStr">
        <is>
          <t>3y</t>
        </is>
      </c>
      <c r="E25" t="inlineStr">
        <is>
          <t>3y</t>
        </is>
      </c>
      <c r="F25" t="inlineStr">
        <is>
          <t>10y</t>
        </is>
      </c>
      <c r="G25" t="inlineStr">
        <is>
          <t>10y</t>
        </is>
      </c>
      <c r="H25" t="inlineStr">
        <is>
          <t>10y</t>
        </is>
      </c>
      <c r="I25" s="4" t="inlineStr">
        <is>
          <t>30y</t>
        </is>
      </c>
      <c r="J25" s="4" t="inlineStr">
        <is>
          <t>30y</t>
        </is>
      </c>
      <c r="K25" s="4" t="inlineStr">
        <is>
          <t>30y</t>
        </is>
      </c>
      <c r="N25" t="inlineStr">
        <is>
          <t>3y</t>
        </is>
      </c>
      <c r="O25" t="inlineStr">
        <is>
          <t>3y</t>
        </is>
      </c>
      <c r="P25" t="inlineStr">
        <is>
          <t>3y</t>
        </is>
      </c>
      <c r="Q25" t="inlineStr">
        <is>
          <t>10y</t>
        </is>
      </c>
      <c r="R25" t="inlineStr">
        <is>
          <t>10y</t>
        </is>
      </c>
      <c r="S25" t="inlineStr">
        <is>
          <t>10y</t>
        </is>
      </c>
      <c r="T25" s="4" t="inlineStr">
        <is>
          <t>30y</t>
        </is>
      </c>
      <c r="U25" s="4" t="inlineStr">
        <is>
          <t>30y</t>
        </is>
      </c>
      <c r="V25" s="4" t="inlineStr">
        <is>
          <t>30y</t>
        </is>
      </c>
    </row>
    <row r="26">
      <c r="C26" s="2" t="n">
        <v>0.01</v>
      </c>
      <c r="D26" s="2" t="n">
        <v>0.03</v>
      </c>
      <c r="E26" s="2" t="n">
        <v>0.06</v>
      </c>
      <c r="F26" s="2" t="n">
        <v>0.01</v>
      </c>
      <c r="G26" s="2" t="n">
        <v>0.03</v>
      </c>
      <c r="H26" s="2" t="n">
        <v>0.06</v>
      </c>
      <c r="I26" s="2" t="n">
        <v>0.01</v>
      </c>
      <c r="J26" s="2" t="n">
        <v>0.03</v>
      </c>
      <c r="K26" s="2" t="n">
        <v>0.06</v>
      </c>
      <c r="N26" s="2" t="n">
        <v>0.01</v>
      </c>
      <c r="O26" s="2" t="n">
        <v>0.03</v>
      </c>
      <c r="P26" s="2" t="n">
        <v>0.06</v>
      </c>
      <c r="Q26" s="2" t="n">
        <v>0.01</v>
      </c>
      <c r="R26" s="2" t="n">
        <v>0.03</v>
      </c>
      <c r="S26" s="2" t="n">
        <v>0.06</v>
      </c>
      <c r="T26" s="2" t="n">
        <v>0.01</v>
      </c>
      <c r="U26" s="2" t="n">
        <v>0.03</v>
      </c>
      <c r="V26" s="2" t="n">
        <v>0.06</v>
      </c>
    </row>
    <row r="27"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t="inlineStr">
        <is>
          <t>CPU</t>
        </is>
      </c>
      <c r="B28" t="inlineStr">
        <is>
          <t>Node Count</t>
        </is>
      </c>
      <c r="C28" s="3" t="n">
        <v>506428</v>
      </c>
      <c r="D28" s="3" t="n">
        <v>537112</v>
      </c>
      <c r="E28" s="3" t="n">
        <v>585424</v>
      </c>
      <c r="F28" s="3" t="n">
        <v>542962</v>
      </c>
      <c r="G28" s="3" t="n">
        <v>660583</v>
      </c>
      <c r="H28" s="3" t="n">
        <v>880264</v>
      </c>
      <c r="I28" s="3" t="n">
        <v>662527</v>
      </c>
      <c r="J28" s="3" t="n">
        <v>1193102</v>
      </c>
      <c r="K28" s="3" t="n">
        <v>2823139</v>
      </c>
      <c r="M28" t="inlineStr">
        <is>
          <t>Nodes/sec</t>
        </is>
      </c>
      <c r="N28" s="3" t="n">
        <v>1087</v>
      </c>
      <c r="O28" s="3" t="n">
        <v>1283</v>
      </c>
      <c r="P28" s="3" t="n">
        <v>1259</v>
      </c>
      <c r="Q28" s="3" t="n">
        <v>907</v>
      </c>
      <c r="R28" s="3" t="n">
        <v>870</v>
      </c>
      <c r="S28" s="3" t="n">
        <v>484</v>
      </c>
      <c r="T28" s="3" t="n">
        <v>756</v>
      </c>
      <c r="U28" s="3" t="n"/>
      <c r="V28" s="3" t="n"/>
    </row>
    <row r="29">
      <c r="B29" t="inlineStr">
        <is>
          <t>edge count</t>
        </is>
      </c>
      <c r="C29" s="3">
        <f>AVERAGE(1192176,1183656)</f>
        <v/>
      </c>
      <c r="D29" s="3">
        <f>AVERAGE(1797621,1795839)</f>
        <v/>
      </c>
      <c r="E29" s="3">
        <f>AVERAGE(2726746,2744288)</f>
        <v/>
      </c>
      <c r="F29" s="3" t="n">
        <v>1910318</v>
      </c>
      <c r="G29" s="3" t="n">
        <v>4220756</v>
      </c>
      <c r="H29" s="3" t="n">
        <v>8486601</v>
      </c>
      <c r="I29" s="3" t="n">
        <v>4262697</v>
      </c>
      <c r="J29" s="3" t="n"/>
      <c r="K29" s="3" t="n"/>
      <c r="M29" t="inlineStr">
        <is>
          <t>edges/sec</t>
        </is>
      </c>
      <c r="N29" s="3" t="n">
        <v>19676</v>
      </c>
      <c r="O29" s="3" t="n">
        <v>24006</v>
      </c>
      <c r="P29" s="3" t="n">
        <v>23255</v>
      </c>
      <c r="Q29" s="3" t="n">
        <v>16931</v>
      </c>
      <c r="R29" s="3" t="n">
        <v>16233</v>
      </c>
      <c r="S29" s="3" t="n">
        <v>8969</v>
      </c>
      <c r="T29" s="3" t="n">
        <v>14124</v>
      </c>
      <c r="U29" s="3" t="n"/>
      <c r="V29" s="3" t="n"/>
    </row>
    <row r="30">
      <c r="B30" t="inlineStr">
        <is>
          <t>Citation loop %</t>
        </is>
      </c>
      <c r="C30" s="3" t="n">
        <v>72.2</v>
      </c>
      <c r="D30" s="3" t="n">
        <v>82.2</v>
      </c>
      <c r="E30" s="3" t="n">
        <v>88.7</v>
      </c>
      <c r="F30" s="3" t="n">
        <v>73</v>
      </c>
      <c r="G30" s="3" t="n">
        <v>86.90000000000001</v>
      </c>
      <c r="H30" s="3" t="n">
        <v>93.8</v>
      </c>
      <c r="I30" s="3" t="n">
        <v>99.40000000000001</v>
      </c>
      <c r="J30" s="3" t="n"/>
      <c r="K30" s="3" t="n"/>
      <c r="M30" t="inlineStr">
        <is>
          <t>Thread Util Imbalance</t>
        </is>
      </c>
      <c r="N30" s="3">
        <f>AVERAGE(4.3,3.3,4.2)</f>
        <v/>
      </c>
      <c r="O30" s="3">
        <f>AVERAGE(6.3,12.3,13.7)</f>
        <v/>
      </c>
      <c r="P30" s="3">
        <f>AVERAGE(1.6,2.4,1.5)</f>
        <v/>
      </c>
      <c r="Q30" s="3">
        <f>AVERAGE(11.8,11.1,12.7,11.4,15.7,14,7.2,10.8,16.4,7)</f>
        <v/>
      </c>
      <c r="R30" s="3">
        <f>AVERAGE(2.3,5.9,4,2.7,3.1,4,3,2.5,2.9,3.1)</f>
        <v/>
      </c>
      <c r="S30" s="3">
        <f>AVERAGE(2.1,1.5,1.4,1.7,2.3,1.3,1,1.3,0.7)</f>
        <v/>
      </c>
      <c r="T30" s="3">
        <f>AVERAGE(11.5,6.6,7,12.8,15.9,8.2,20.9,9,15.5,13,6.8,8,11.7,8.3,5.7,5.6,9.4,11.7,8.8,7.8,9.2,7.9)</f>
        <v/>
      </c>
      <c r="U30" s="3" t="n"/>
      <c r="V30" s="3" t="n"/>
    </row>
    <row r="31">
      <c r="A31" t="inlineStr">
        <is>
          <t>ParAGraph</t>
        </is>
      </c>
      <c r="B31" t="inlineStr">
        <is>
          <t>Node Count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M31" t="inlineStr">
        <is>
          <t>Nodes/sec</t>
        </is>
      </c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>
      <c r="B32" t="inlineStr">
        <is>
          <t>edge count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M32" t="inlineStr">
        <is>
          <t>edges/sec</t>
        </is>
      </c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>
      <c r="A34" t="inlineStr">
        <is>
          <t>MASS CUDA</t>
        </is>
      </c>
      <c r="B34" s="4" t="inlineStr">
        <is>
          <t>Node Count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M34" t="inlineStr">
        <is>
          <t>Nodes/sec</t>
        </is>
      </c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>
      <c r="B35" s="4" t="inlineStr">
        <is>
          <t>edge count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M35" t="inlineStr">
        <is>
          <t>edges/sec</t>
        </is>
      </c>
    </row>
    <row r="36">
      <c r="B36" s="4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t="inlineStr">
        <is>
          <t>ER</t>
        </is>
      </c>
      <c r="I37" s="4" t="n"/>
      <c r="J37" s="4" t="n"/>
      <c r="K37" s="4" t="n"/>
    </row>
    <row r="38">
      <c r="C38" t="inlineStr">
        <is>
          <t>3y</t>
        </is>
      </c>
      <c r="D38" t="inlineStr">
        <is>
          <t>3y</t>
        </is>
      </c>
      <c r="E38" t="inlineStr">
        <is>
          <t>3y</t>
        </is>
      </c>
      <c r="F38" t="inlineStr">
        <is>
          <t>10y</t>
        </is>
      </c>
      <c r="G38" t="inlineStr">
        <is>
          <t>10y</t>
        </is>
      </c>
      <c r="H38" t="inlineStr">
        <is>
          <t>10y</t>
        </is>
      </c>
      <c r="I38" s="4" t="inlineStr">
        <is>
          <t>30y</t>
        </is>
      </c>
      <c r="J38" s="4" t="inlineStr">
        <is>
          <t>30y</t>
        </is>
      </c>
      <c r="K38" s="4" t="inlineStr">
        <is>
          <t>30y</t>
        </is>
      </c>
    </row>
    <row r="39">
      <c r="A39" t="inlineStr">
        <is>
          <t>p</t>
        </is>
      </c>
      <c r="C39" s="2" t="n">
        <v>0.01</v>
      </c>
      <c r="D39" s="2" t="n">
        <v>0.03</v>
      </c>
      <c r="E39" s="2" t="n">
        <v>0.06</v>
      </c>
      <c r="F39" s="2" t="n">
        <v>0.01</v>
      </c>
      <c r="G39" s="2" t="n">
        <v>0.03</v>
      </c>
      <c r="H39" s="2" t="n">
        <v>0.06</v>
      </c>
      <c r="I39" s="2" t="n">
        <v>0.01</v>
      </c>
      <c r="J39" s="2" t="n">
        <v>0.03</v>
      </c>
      <c r="K39" s="2" t="n">
        <v>0.06</v>
      </c>
    </row>
    <row r="40">
      <c r="A40" t="n">
        <v>0.0001</v>
      </c>
      <c r="B40" t="inlineStr">
        <is>
          <t>Node Count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t="n">
        <v>0.0001</v>
      </c>
      <c r="B41" t="inlineStr">
        <is>
          <t>edge count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t="n">
        <v>0.0003</v>
      </c>
      <c r="B42" t="inlineStr">
        <is>
          <t>Node Count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t="n">
        <v>0.0003</v>
      </c>
      <c r="B43" t="inlineStr">
        <is>
          <t>edge count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t="n">
        <v>0.0005</v>
      </c>
      <c r="B44" t="inlineStr">
        <is>
          <t>Node Count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t="n">
        <v>0.0005</v>
      </c>
      <c r="B45" t="inlineStr">
        <is>
          <t>edge count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t="n">
        <v>0.001</v>
      </c>
      <c r="B46" t="inlineStr">
        <is>
          <t>Node Count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t="n">
        <v>0.001</v>
      </c>
      <c r="B47" t="inlineStr">
        <is>
          <t>edge count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50">
      <c r="A50" t="inlineStr">
        <is>
          <t>AMZ</t>
        </is>
      </c>
    </row>
    <row r="52">
      <c r="A52" s="4" t="inlineStr">
        <is>
          <t>PA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inlineStr">
        <is>
          <t>3y</t>
        </is>
      </c>
      <c r="D53" s="4" t="inlineStr">
        <is>
          <t>3y</t>
        </is>
      </c>
      <c r="E53" s="4" t="inlineStr">
        <is>
          <t>3y</t>
        </is>
      </c>
      <c r="F53" s="4" t="inlineStr">
        <is>
          <t>10y</t>
        </is>
      </c>
      <c r="G53" s="4" t="inlineStr">
        <is>
          <t>10y</t>
        </is>
      </c>
      <c r="H53" s="4" t="inlineStr">
        <is>
          <t>10y</t>
        </is>
      </c>
      <c r="I53" s="4" t="inlineStr">
        <is>
          <t>30y</t>
        </is>
      </c>
      <c r="J53" s="4" t="inlineStr">
        <is>
          <t>30y</t>
        </is>
      </c>
      <c r="K53" s="4" t="inlineStr">
        <is>
          <t>30y</t>
        </is>
      </c>
    </row>
    <row r="54">
      <c r="A54" s="4" t="n"/>
      <c r="B54" s="4" t="n"/>
      <c r="C54" s="5" t="n">
        <v>0.01</v>
      </c>
      <c r="D54" s="5" t="n">
        <v>0.03</v>
      </c>
      <c r="E54" s="5" t="n">
        <v>0.06</v>
      </c>
      <c r="F54" s="5" t="n">
        <v>0.01</v>
      </c>
      <c r="G54" s="5" t="n">
        <v>0.03</v>
      </c>
      <c r="H54" s="5" t="n">
        <v>0.06</v>
      </c>
      <c r="I54" s="5" t="n">
        <v>0.01</v>
      </c>
      <c r="J54" s="5" t="n">
        <v>0.03</v>
      </c>
      <c r="K54" s="5" t="n">
        <v>0.06</v>
      </c>
    </row>
    <row r="55">
      <c r="A55" s="4" t="n"/>
      <c r="B55" s="4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4" t="n"/>
      <c r="B56" s="4" t="inlineStr">
        <is>
          <t>Node Count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4" t="n"/>
      <c r="B57" s="4" t="inlineStr">
        <is>
          <t>edge count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4" t="inlineStr">
        <is>
          <t>ER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inlineStr">
        <is>
          <t>3y</t>
        </is>
      </c>
      <c r="D59" s="4" t="inlineStr">
        <is>
          <t>3y</t>
        </is>
      </c>
      <c r="E59" s="4" t="inlineStr">
        <is>
          <t>3y</t>
        </is>
      </c>
      <c r="F59" s="4" t="inlineStr">
        <is>
          <t>10y</t>
        </is>
      </c>
      <c r="G59" s="4" t="inlineStr">
        <is>
          <t>10y</t>
        </is>
      </c>
      <c r="H59" s="4" t="inlineStr">
        <is>
          <t>10y</t>
        </is>
      </c>
      <c r="I59" s="4" t="inlineStr">
        <is>
          <t>30y</t>
        </is>
      </c>
      <c r="J59" s="4" t="inlineStr">
        <is>
          <t>30y</t>
        </is>
      </c>
      <c r="K59" s="4" t="inlineStr">
        <is>
          <t>30y</t>
        </is>
      </c>
    </row>
    <row r="60">
      <c r="A60" s="4" t="inlineStr">
        <is>
          <t>p</t>
        </is>
      </c>
      <c r="B60" s="4" t="n"/>
      <c r="C60" s="5" t="n">
        <v>0.01</v>
      </c>
      <c r="D60" s="5" t="n">
        <v>0.03</v>
      </c>
      <c r="E60" s="5" t="n">
        <v>0.06</v>
      </c>
      <c r="F60" s="5" t="n">
        <v>0.01</v>
      </c>
      <c r="G60" s="5" t="n">
        <v>0.03</v>
      </c>
      <c r="H60" s="5" t="n">
        <v>0.06</v>
      </c>
      <c r="I60" s="5" t="n">
        <v>0.01</v>
      </c>
      <c r="J60" s="5" t="n">
        <v>0.03</v>
      </c>
      <c r="K60" s="5" t="n">
        <v>0.06</v>
      </c>
    </row>
    <row r="61">
      <c r="A61" s="4" t="n">
        <v>0.0001</v>
      </c>
      <c r="B61" s="4" t="inlineStr">
        <is>
          <t>Node Count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4" t="n">
        <v>0.0001</v>
      </c>
      <c r="B62" s="4" t="inlineStr">
        <is>
          <t>edge count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4" t="n">
        <v>0.0003</v>
      </c>
      <c r="B63" s="4" t="inlineStr">
        <is>
          <t>Node Count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4" t="n">
        <v>0.0003</v>
      </c>
      <c r="B64" s="4" t="inlineStr">
        <is>
          <t>edge count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4" t="n">
        <v>0.0005</v>
      </c>
      <c r="B65" s="4" t="inlineStr">
        <is>
          <t>Node Count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4" t="n">
        <v>0.0005</v>
      </c>
      <c r="B66" s="4" t="inlineStr">
        <is>
          <t>edge count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4" t="n">
        <v>0.001</v>
      </c>
      <c r="B67" s="4" t="inlineStr">
        <is>
          <t>Node Count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4" t="n">
        <v>0.001</v>
      </c>
      <c r="B68" s="4" t="inlineStr">
        <is>
          <t>edge count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70">
      <c r="A70" t="inlineStr">
        <is>
          <t>EU</t>
        </is>
      </c>
    </row>
    <row r="72">
      <c r="A72" s="4" t="inlineStr">
        <is>
          <t>PA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inlineStr">
        <is>
          <t>3y</t>
        </is>
      </c>
      <c r="D73" s="4" t="inlineStr">
        <is>
          <t>3y</t>
        </is>
      </c>
      <c r="E73" s="4" t="inlineStr">
        <is>
          <t>3y</t>
        </is>
      </c>
      <c r="F73" s="4" t="inlineStr">
        <is>
          <t>10y</t>
        </is>
      </c>
      <c r="G73" s="4" t="inlineStr">
        <is>
          <t>10y</t>
        </is>
      </c>
      <c r="H73" s="4" t="inlineStr">
        <is>
          <t>10y</t>
        </is>
      </c>
      <c r="I73" s="4" t="inlineStr">
        <is>
          <t>30y</t>
        </is>
      </c>
      <c r="J73" s="4" t="inlineStr">
        <is>
          <t>30y</t>
        </is>
      </c>
      <c r="K73" s="4" t="inlineStr">
        <is>
          <t>30y</t>
        </is>
      </c>
    </row>
    <row r="74">
      <c r="A74" s="4" t="n"/>
      <c r="B74" s="4" t="n"/>
      <c r="C74" s="5" t="n">
        <v>0.01</v>
      </c>
      <c r="D74" s="5" t="n">
        <v>0.03</v>
      </c>
      <c r="E74" s="5" t="n">
        <v>0.06</v>
      </c>
      <c r="F74" s="5" t="n">
        <v>0.01</v>
      </c>
      <c r="G74" s="5" t="n">
        <v>0.03</v>
      </c>
      <c r="H74" s="5" t="n">
        <v>0.06</v>
      </c>
      <c r="I74" s="5" t="n">
        <v>0.01</v>
      </c>
      <c r="J74" s="5" t="n">
        <v>0.03</v>
      </c>
      <c r="K74" s="5" t="n">
        <v>0.06</v>
      </c>
    </row>
    <row r="75">
      <c r="A75" s="4" t="n"/>
      <c r="B75" s="4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4" t="n"/>
      <c r="B76" s="4" t="inlineStr">
        <is>
          <t>Node Count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4" t="n"/>
      <c r="B77" s="4" t="inlineStr">
        <is>
          <t>edge count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4" t="inlineStr">
        <is>
          <t>ER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inlineStr">
        <is>
          <t>3y</t>
        </is>
      </c>
      <c r="D79" s="4" t="inlineStr">
        <is>
          <t>3y</t>
        </is>
      </c>
      <c r="E79" s="4" t="inlineStr">
        <is>
          <t>3y</t>
        </is>
      </c>
      <c r="F79" s="4" t="inlineStr">
        <is>
          <t>10y</t>
        </is>
      </c>
      <c r="G79" s="4" t="inlineStr">
        <is>
          <t>10y</t>
        </is>
      </c>
      <c r="H79" s="4" t="inlineStr">
        <is>
          <t>10y</t>
        </is>
      </c>
      <c r="I79" s="4" t="inlineStr">
        <is>
          <t>30y</t>
        </is>
      </c>
      <c r="J79" s="4" t="inlineStr">
        <is>
          <t>30y</t>
        </is>
      </c>
      <c r="K79" s="4" t="inlineStr">
        <is>
          <t>30y</t>
        </is>
      </c>
    </row>
    <row r="80">
      <c r="A80" s="4" t="inlineStr">
        <is>
          <t>p</t>
        </is>
      </c>
      <c r="B80" s="4" t="n"/>
      <c r="C80" s="5" t="n">
        <v>0.01</v>
      </c>
      <c r="D80" s="5" t="n">
        <v>0.03</v>
      </c>
      <c r="E80" s="5" t="n">
        <v>0.06</v>
      </c>
      <c r="F80" s="5" t="n">
        <v>0.01</v>
      </c>
      <c r="G80" s="5" t="n">
        <v>0.03</v>
      </c>
      <c r="H80" s="5" t="n">
        <v>0.06</v>
      </c>
      <c r="I80" s="5" t="n">
        <v>0.01</v>
      </c>
      <c r="J80" s="5" t="n">
        <v>0.03</v>
      </c>
      <c r="K80" s="5" t="n">
        <v>0.06</v>
      </c>
    </row>
    <row r="81">
      <c r="A81" s="4" t="n">
        <v>0.0001</v>
      </c>
      <c r="B81" s="4" t="inlineStr">
        <is>
          <t>Node Count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4" t="n">
        <v>0.0001</v>
      </c>
      <c r="B82" s="4" t="inlineStr">
        <is>
          <t>edge count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4" t="n">
        <v>0.0003</v>
      </c>
      <c r="B83" s="4" t="inlineStr">
        <is>
          <t>Node Count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4" t="n">
        <v>0.0003</v>
      </c>
      <c r="B84" s="4" t="inlineStr">
        <is>
          <t>edge count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4" t="n">
        <v>0.0005</v>
      </c>
      <c r="B85" s="4" t="inlineStr">
        <is>
          <t>Node Count</t>
        </is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4" t="n">
        <v>0.0005</v>
      </c>
      <c r="B86" s="4" t="inlineStr">
        <is>
          <t>edge count</t>
        </is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4" t="n">
        <v>0.001</v>
      </c>
      <c r="B87" s="4" t="inlineStr">
        <is>
          <t>Node Count</t>
        </is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4" t="n">
        <v>0.001</v>
      </c>
      <c r="B88" s="4" t="inlineStr">
        <is>
          <t>edge count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90">
      <c r="A90" t="inlineStr">
        <is>
          <t>yutb</t>
        </is>
      </c>
    </row>
    <row r="92">
      <c r="A92" s="4" t="inlineStr">
        <is>
          <t>PA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inlineStr">
        <is>
          <t>3y</t>
        </is>
      </c>
      <c r="D93" s="4" t="inlineStr">
        <is>
          <t>3y</t>
        </is>
      </c>
      <c r="E93" s="4" t="inlineStr">
        <is>
          <t>3y</t>
        </is>
      </c>
      <c r="F93" s="4" t="inlineStr">
        <is>
          <t>10y</t>
        </is>
      </c>
      <c r="G93" s="4" t="inlineStr">
        <is>
          <t>10y</t>
        </is>
      </c>
      <c r="H93" s="4" t="inlineStr">
        <is>
          <t>10y</t>
        </is>
      </c>
      <c r="I93" s="4" t="inlineStr">
        <is>
          <t>30y</t>
        </is>
      </c>
      <c r="J93" s="4" t="inlineStr">
        <is>
          <t>30y</t>
        </is>
      </c>
      <c r="K93" s="4" t="inlineStr">
        <is>
          <t>30y</t>
        </is>
      </c>
    </row>
    <row r="94">
      <c r="A94" s="4" t="n"/>
      <c r="B94" s="4" t="n"/>
      <c r="C94" s="5" t="n">
        <v>0.01</v>
      </c>
      <c r="D94" s="5" t="n">
        <v>0.03</v>
      </c>
      <c r="E94" s="5" t="n">
        <v>0.06</v>
      </c>
      <c r="F94" s="5" t="n">
        <v>0.01</v>
      </c>
      <c r="G94" s="5" t="n">
        <v>0.03</v>
      </c>
      <c r="H94" s="5" t="n">
        <v>0.06</v>
      </c>
      <c r="I94" s="5" t="n">
        <v>0.01</v>
      </c>
      <c r="J94" s="5" t="n">
        <v>0.03</v>
      </c>
      <c r="K94" s="5" t="n">
        <v>0.06</v>
      </c>
    </row>
    <row r="95">
      <c r="A95" s="4" t="n"/>
      <c r="B95" s="4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4" t="n"/>
      <c r="B96" s="4" t="inlineStr">
        <is>
          <t>Node Count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4" t="n"/>
      <c r="B97" s="4" t="inlineStr">
        <is>
          <t>edge count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4" t="inlineStr">
        <is>
          <t>ER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inlineStr">
        <is>
          <t>3y</t>
        </is>
      </c>
      <c r="D99" s="4" t="inlineStr">
        <is>
          <t>3y</t>
        </is>
      </c>
      <c r="E99" s="4" t="inlineStr">
        <is>
          <t>3y</t>
        </is>
      </c>
      <c r="F99" s="4" t="inlineStr">
        <is>
          <t>10y</t>
        </is>
      </c>
      <c r="G99" s="4" t="inlineStr">
        <is>
          <t>10y</t>
        </is>
      </c>
      <c r="H99" s="4" t="inlineStr">
        <is>
          <t>10y</t>
        </is>
      </c>
      <c r="I99" s="4" t="inlineStr">
        <is>
          <t>30y</t>
        </is>
      </c>
      <c r="J99" s="4" t="inlineStr">
        <is>
          <t>30y</t>
        </is>
      </c>
      <c r="K99" s="4" t="inlineStr">
        <is>
          <t>30y</t>
        </is>
      </c>
    </row>
    <row r="100">
      <c r="A100" s="4" t="inlineStr">
        <is>
          <t>p</t>
        </is>
      </c>
      <c r="B100" s="4" t="n"/>
      <c r="C100" s="5" t="n">
        <v>0.01</v>
      </c>
      <c r="D100" s="5" t="n">
        <v>0.03</v>
      </c>
      <c r="E100" s="5" t="n">
        <v>0.06</v>
      </c>
      <c r="F100" s="5" t="n">
        <v>0.01</v>
      </c>
      <c r="G100" s="5" t="n">
        <v>0.03</v>
      </c>
      <c r="H100" s="5" t="n">
        <v>0.06</v>
      </c>
      <c r="I100" s="5" t="n">
        <v>0.01</v>
      </c>
      <c r="J100" s="5" t="n">
        <v>0.03</v>
      </c>
      <c r="K100" s="5" t="n">
        <v>0.06</v>
      </c>
    </row>
    <row r="101">
      <c r="A101" s="4" t="n">
        <v>0.0001</v>
      </c>
      <c r="B101" s="4" t="inlineStr">
        <is>
          <t>Node Count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4" t="n">
        <v>0.0001</v>
      </c>
      <c r="B102" s="4" t="inlineStr">
        <is>
          <t>edge count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4" t="n">
        <v>0.0003</v>
      </c>
      <c r="B103" s="4" t="inlineStr">
        <is>
          <t>Node Count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4" t="n">
        <v>0.0003</v>
      </c>
      <c r="B104" s="4" t="inlineStr">
        <is>
          <t>edge count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4" t="n">
        <v>0.0005</v>
      </c>
      <c r="B105" s="4" t="inlineStr">
        <is>
          <t>Node Count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4" t="n">
        <v>0.0005</v>
      </c>
      <c r="B106" s="4" t="inlineStr">
        <is>
          <t>edge count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4" t="n">
        <v>0.001</v>
      </c>
      <c r="B107" s="4" t="inlineStr">
        <is>
          <t>Node Count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4" t="n">
        <v>0.001</v>
      </c>
      <c r="B108" s="4" t="inlineStr">
        <is>
          <t>edge count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10">
      <c r="A110" t="inlineStr">
        <is>
          <t>twt</t>
        </is>
      </c>
    </row>
    <row r="112">
      <c r="A112" s="4" t="inlineStr">
        <is>
          <t>PA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>
      <c r="A113" s="4" t="n"/>
      <c r="B113" s="4" t="n"/>
      <c r="C113" s="4" t="inlineStr">
        <is>
          <t>3y</t>
        </is>
      </c>
      <c r="D113" s="4" t="inlineStr">
        <is>
          <t>3y</t>
        </is>
      </c>
      <c r="E113" s="4" t="inlineStr">
        <is>
          <t>3y</t>
        </is>
      </c>
      <c r="F113" s="4" t="inlineStr">
        <is>
          <t>10y</t>
        </is>
      </c>
      <c r="G113" s="4" t="inlineStr">
        <is>
          <t>10y</t>
        </is>
      </c>
      <c r="H113" s="4" t="inlineStr">
        <is>
          <t>10y</t>
        </is>
      </c>
      <c r="I113" s="4" t="inlineStr">
        <is>
          <t>30y</t>
        </is>
      </c>
      <c r="J113" s="4" t="inlineStr">
        <is>
          <t>30y</t>
        </is>
      </c>
      <c r="K113" s="4" t="inlineStr">
        <is>
          <t>30y</t>
        </is>
      </c>
    </row>
    <row r="114">
      <c r="A114" s="4" t="n"/>
      <c r="B114" s="4" t="n"/>
      <c r="C114" s="5" t="n">
        <v>0.01</v>
      </c>
      <c r="D114" s="5" t="n">
        <v>0.03</v>
      </c>
      <c r="E114" s="5" t="n">
        <v>0.06</v>
      </c>
      <c r="F114" s="5" t="n">
        <v>0.01</v>
      </c>
      <c r="G114" s="5" t="n">
        <v>0.03</v>
      </c>
      <c r="H114" s="5" t="n">
        <v>0.06</v>
      </c>
      <c r="I114" s="5" t="n">
        <v>0.01</v>
      </c>
      <c r="J114" s="5" t="n">
        <v>0.03</v>
      </c>
      <c r="K114" s="5" t="n">
        <v>0.06</v>
      </c>
    </row>
    <row r="115">
      <c r="A115" s="4" t="n"/>
      <c r="B115" s="4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4" t="n"/>
      <c r="B116" s="4" t="inlineStr">
        <is>
          <t>Node Count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4" t="n"/>
      <c r="B117" s="4" t="inlineStr">
        <is>
          <t>edge count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4" t="inlineStr">
        <is>
          <t>ER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>
      <c r="A119" s="4" t="n"/>
      <c r="B119" s="4" t="n"/>
      <c r="C119" s="4" t="inlineStr">
        <is>
          <t>3y</t>
        </is>
      </c>
      <c r="D119" s="4" t="inlineStr">
        <is>
          <t>3y</t>
        </is>
      </c>
      <c r="E119" s="4" t="inlineStr">
        <is>
          <t>3y</t>
        </is>
      </c>
      <c r="F119" s="4" t="inlineStr">
        <is>
          <t>10y</t>
        </is>
      </c>
      <c r="G119" s="4" t="inlineStr">
        <is>
          <t>10y</t>
        </is>
      </c>
      <c r="H119" s="4" t="inlineStr">
        <is>
          <t>10y</t>
        </is>
      </c>
      <c r="I119" s="4" t="inlineStr">
        <is>
          <t>30y</t>
        </is>
      </c>
      <c r="J119" s="4" t="inlineStr">
        <is>
          <t>30y</t>
        </is>
      </c>
      <c r="K119" s="4" t="inlineStr">
        <is>
          <t>30y</t>
        </is>
      </c>
    </row>
    <row r="120">
      <c r="A120" s="4" t="inlineStr">
        <is>
          <t>p</t>
        </is>
      </c>
      <c r="B120" s="4" t="n"/>
      <c r="C120" s="5" t="n">
        <v>0.01</v>
      </c>
      <c r="D120" s="5" t="n">
        <v>0.03</v>
      </c>
      <c r="E120" s="5" t="n">
        <v>0.06</v>
      </c>
      <c r="F120" s="5" t="n">
        <v>0.01</v>
      </c>
      <c r="G120" s="5" t="n">
        <v>0.03</v>
      </c>
      <c r="H120" s="5" t="n">
        <v>0.06</v>
      </c>
      <c r="I120" s="5" t="n">
        <v>0.01</v>
      </c>
      <c r="J120" s="5" t="n">
        <v>0.03</v>
      </c>
      <c r="K120" s="5" t="n">
        <v>0.06</v>
      </c>
    </row>
    <row r="121">
      <c r="A121" s="4" t="n">
        <v>0.0001</v>
      </c>
      <c r="B121" s="4" t="inlineStr">
        <is>
          <t>Node Count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4" t="n">
        <v>0.0001</v>
      </c>
      <c r="B122" s="4" t="inlineStr">
        <is>
          <t>edge count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4" t="n">
        <v>0.0003</v>
      </c>
      <c r="B123" s="4" t="inlineStr">
        <is>
          <t>Node Count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4" t="n">
        <v>0.0003</v>
      </c>
      <c r="B124" s="4" t="inlineStr">
        <is>
          <t>edge count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4" t="n">
        <v>0.0005</v>
      </c>
      <c r="B125" s="4" t="inlineStr">
        <is>
          <t>Node Count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4" t="n">
        <v>0.0005</v>
      </c>
      <c r="B126" s="4" t="inlineStr">
        <is>
          <t>edge count</t>
        </is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4" t="n">
        <v>0.001</v>
      </c>
      <c r="B127" s="4" t="inlineStr">
        <is>
          <t>Node Count</t>
        </is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4" t="n">
        <v>0.001</v>
      </c>
      <c r="B128" s="4" t="inlineStr">
        <is>
          <t>edge count</t>
        </is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1"/>
  <sheetViews>
    <sheetView tabSelected="1" zoomScale="89" zoomScaleNormal="89" workbookViewId="0">
      <selection activeCell="A26" sqref="A26"/>
    </sheetView>
  </sheetViews>
  <sheetFormatPr baseColWidth="10" defaultRowHeight="16"/>
  <cols>
    <col width="33.1640625" customWidth="1" min="1" max="1"/>
    <col width="25.33203125" customWidth="1" min="7" max="7"/>
    <col width="24.83203125" customWidth="1" min="10" max="10"/>
  </cols>
  <sheetData>
    <row r="1">
      <c r="A1" t="inlineStr">
        <is>
          <t>PA</t>
        </is>
      </c>
      <c r="G1" t="inlineStr">
        <is>
          <t>Speedup</t>
        </is>
      </c>
    </row>
    <row r="2">
      <c r="B2" t="inlineStr">
        <is>
          <t>TIMING (seconds)</t>
        </is>
      </c>
    </row>
    <row r="3">
      <c r="A3" t="inlineStr">
        <is>
          <t>SJ</t>
        </is>
      </c>
    </row>
    <row r="4">
      <c r="A4" t="inlineStr">
        <is>
          <t xml:space="preserve">3 years </t>
        </is>
      </c>
      <c r="G4" t="inlineStr">
        <is>
          <t xml:space="preserve">3 years </t>
        </is>
      </c>
    </row>
    <row r="5">
      <c r="B5" s="2" t="n">
        <v>0.01</v>
      </c>
      <c r="C5" s="2" t="n">
        <v>0.03</v>
      </c>
      <c r="D5" s="2" t="n">
        <v>0.06</v>
      </c>
      <c r="E5" s="2" t="n"/>
      <c r="F5" s="2" t="n"/>
      <c r="H5" s="2" t="n">
        <v>0.01</v>
      </c>
      <c r="I5" s="2" t="n">
        <v>0.03</v>
      </c>
      <c r="J5" s="2" t="n">
        <v>0.06</v>
      </c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t="inlineStr">
        <is>
          <t>CPU-16T (Intel Xeon Platinum 8480+)</t>
        </is>
      </c>
      <c r="B6" s="4">
        <f>AVERAGE(20.953,29.908)</f>
        <v/>
      </c>
      <c r="C6" s="4">
        <f>AVERAGE(43.7,60)</f>
        <v/>
      </c>
      <c r="D6" s="4">
        <f>AVERAGE(114,83.6)</f>
        <v/>
      </c>
      <c r="G6" t="inlineStr">
        <is>
          <t>CPU-16T</t>
        </is>
      </c>
      <c r="H6">
        <f>B$6/B6</f>
        <v/>
      </c>
      <c r="I6">
        <f>C$6/C6</f>
        <v/>
      </c>
      <c r="J6">
        <f>D$6/D6</f>
        <v/>
      </c>
    </row>
    <row r="7">
      <c r="A7" s="4" t="inlineStr">
        <is>
          <t>ParAGraph</t>
        </is>
      </c>
      <c r="B7" t="n">
        <v>16.356</v>
      </c>
      <c r="C7" t="n">
        <v>24.346</v>
      </c>
      <c r="D7" t="n">
        <v>41.476</v>
      </c>
      <c r="G7" t="inlineStr">
        <is>
          <t>GPU-Hopper</t>
        </is>
      </c>
      <c r="H7">
        <f>B$6/B7</f>
        <v/>
      </c>
      <c r="I7">
        <f>C$6/C7</f>
        <v/>
      </c>
      <c r="J7">
        <f>D$6/D7</f>
        <v/>
      </c>
    </row>
    <row r="8">
      <c r="A8" s="4" t="inlineStr">
        <is>
          <t>Mass Cuda</t>
        </is>
      </c>
      <c r="B8" t="n">
        <v>25</v>
      </c>
      <c r="C8" t="n">
        <v>33</v>
      </c>
      <c r="D8" t="n">
        <v>74</v>
      </c>
      <c r="G8" t="inlineStr">
        <is>
          <t>MASS-Hopper</t>
        </is>
      </c>
      <c r="H8">
        <f>B$6/B8</f>
        <v/>
      </c>
      <c r="I8">
        <f>C$6/C8</f>
        <v/>
      </c>
      <c r="J8">
        <f>D$6/D8</f>
        <v/>
      </c>
    </row>
    <row r="9"/>
    <row r="10">
      <c r="G10" t="inlineStr">
        <is>
          <t>MASS_CUDA/gpu-opt Hopper</t>
        </is>
      </c>
      <c r="H10">
        <f>B8/B7</f>
        <v/>
      </c>
      <c r="I10">
        <f>C8/C7</f>
        <v/>
      </c>
      <c r="J10">
        <f>D8/D7</f>
        <v/>
      </c>
    </row>
    <row r="11"/>
    <row r="12">
      <c r="A12" t="inlineStr">
        <is>
          <t>TIMING (seconds)</t>
        </is>
      </c>
      <c r="G12" t="inlineStr">
        <is>
          <t>Speedup</t>
        </is>
      </c>
    </row>
    <row r="13">
      <c r="A13" t="inlineStr">
        <is>
          <t xml:space="preserve">10 years </t>
        </is>
      </c>
      <c r="G13" t="inlineStr">
        <is>
          <t xml:space="preserve">10 years </t>
        </is>
      </c>
    </row>
    <row r="14">
      <c r="B14" s="2" t="n">
        <v>0.01</v>
      </c>
      <c r="C14" s="2" t="n">
        <v>0.03</v>
      </c>
      <c r="D14" s="2" t="n">
        <v>0.06</v>
      </c>
      <c r="E14" s="2" t="n"/>
      <c r="F14" s="2" t="n"/>
      <c r="H14" s="2" t="n">
        <v>0.01</v>
      </c>
      <c r="I14" s="2" t="n">
        <v>0.03</v>
      </c>
      <c r="J14" s="2" t="n">
        <v>0.06</v>
      </c>
      <c r="O14" s="2" t="n"/>
      <c r="P14" s="2" t="n"/>
      <c r="Q14" s="2" t="n"/>
      <c r="R14" s="2" t="n"/>
      <c r="S14" s="2" t="n"/>
    </row>
    <row r="15">
      <c r="A15" t="inlineStr">
        <is>
          <t>CPU-16T (Intel Xeon Platinum 8480+)</t>
        </is>
      </c>
      <c r="B15" s="4">
        <f>AVERAGE(65.9,75)</f>
        <v/>
      </c>
      <c r="C15" s="4">
        <f>AVERAGE(205.3,248)</f>
        <v/>
      </c>
      <c r="D15" s="4">
        <f>AVERAGE(819.2,959)</f>
        <v/>
      </c>
      <c r="G15" t="inlineStr">
        <is>
          <t>CPU-16T</t>
        </is>
      </c>
      <c r="H15">
        <f>B$15/B15</f>
        <v/>
      </c>
      <c r="I15">
        <f>C$15/C15</f>
        <v/>
      </c>
      <c r="J15">
        <f>D$15/D15</f>
        <v/>
      </c>
    </row>
    <row r="16">
      <c r="A16" s="4" t="inlineStr">
        <is>
          <t>ParAGraph</t>
        </is>
      </c>
      <c r="B16" t="n">
        <v>43.286</v>
      </c>
      <c r="C16" t="n">
        <v>80.485</v>
      </c>
      <c r="D16" t="n">
        <v>178.534</v>
      </c>
      <c r="G16" t="inlineStr">
        <is>
          <t>GPU-Hopper</t>
        </is>
      </c>
      <c r="H16">
        <f>B$15/B16</f>
        <v/>
      </c>
      <c r="I16">
        <f>C$15/C16</f>
        <v/>
      </c>
      <c r="J16">
        <f>D$15/D16</f>
        <v/>
      </c>
    </row>
    <row r="17">
      <c r="A17" s="4" t="inlineStr">
        <is>
          <t>Mass Cuda</t>
        </is>
      </c>
      <c r="B17" t="n">
        <v>98</v>
      </c>
      <c r="C17" t="n">
        <v>152</v>
      </c>
      <c r="D17" t="n">
        <v>413</v>
      </c>
      <c r="G17" t="inlineStr">
        <is>
          <t>MASS-Hopper</t>
        </is>
      </c>
      <c r="H17">
        <f>B$15/B17</f>
        <v/>
      </c>
      <c r="I17">
        <f>C$15/C17</f>
        <v/>
      </c>
      <c r="J17">
        <f>D$15/D17</f>
        <v/>
      </c>
    </row>
    <row r="18"/>
    <row r="19">
      <c r="G19" t="inlineStr">
        <is>
          <t>MASS_CUDA/gpu-opt Hopper</t>
        </is>
      </c>
      <c r="H19">
        <f>B17/B16</f>
        <v/>
      </c>
      <c r="I19">
        <f>C17/C16</f>
        <v/>
      </c>
      <c r="J19">
        <f>D17/D16</f>
        <v/>
      </c>
    </row>
    <row r="20"/>
    <row r="21"/>
    <row r="22">
      <c r="A22" t="inlineStr">
        <is>
          <t>TIMING (seconds)</t>
        </is>
      </c>
      <c r="G22" t="inlineStr">
        <is>
          <t>Speedup</t>
        </is>
      </c>
    </row>
    <row r="23">
      <c r="A23" t="inlineStr">
        <is>
          <t>30 years</t>
        </is>
      </c>
      <c r="G23" t="inlineStr">
        <is>
          <t>30 years</t>
        </is>
      </c>
    </row>
    <row r="24">
      <c r="B24" s="2" t="n">
        <v>0.01</v>
      </c>
      <c r="C24" s="2" t="n">
        <v>0.03</v>
      </c>
      <c r="D24" s="2" t="n">
        <v>0.06</v>
      </c>
      <c r="E24" s="2" t="n"/>
      <c r="F24" s="2" t="n"/>
      <c r="H24" s="2" t="n">
        <v>0.01</v>
      </c>
      <c r="I24" s="2" t="n">
        <v>0.03</v>
      </c>
      <c r="J24" s="2" t="n">
        <v>0.06</v>
      </c>
      <c r="O24" s="2" t="n"/>
      <c r="P24" s="2" t="n"/>
      <c r="Q24" s="2" t="n"/>
      <c r="R24" s="2" t="n"/>
    </row>
    <row r="25">
      <c r="A25" t="inlineStr">
        <is>
          <t>CPU-16T (Intel Xeon Platinum 8480+)</t>
        </is>
      </c>
      <c r="B25">
        <f>AVERAGE(237.1,322)</f>
        <v/>
      </c>
      <c r="C25">
        <f>AVERAGE(3676.6, 3460)</f>
        <v/>
      </c>
      <c r="G25" t="inlineStr">
        <is>
          <t>CPU-16T</t>
        </is>
      </c>
      <c r="H25">
        <f>B$25/B25</f>
        <v/>
      </c>
      <c r="I25">
        <f>C$25/C25</f>
        <v/>
      </c>
      <c r="J25">
        <f>D$25/D25</f>
        <v/>
      </c>
    </row>
    <row r="26">
      <c r="A26" s="4" t="inlineStr">
        <is>
          <t>ParAGraph</t>
        </is>
      </c>
      <c r="B26" t="n">
        <v>150.995</v>
      </c>
      <c r="C26" t="n">
        <v>427.2</v>
      </c>
      <c r="D26" t="n">
        <v>2440.617</v>
      </c>
      <c r="G26" t="inlineStr">
        <is>
          <t>GPU-Hopper</t>
        </is>
      </c>
      <c r="H26">
        <f>B$25/B26</f>
        <v/>
      </c>
      <c r="I26">
        <f>C$25/C26</f>
        <v/>
      </c>
      <c r="J26">
        <f>D$25/D26</f>
        <v/>
      </c>
    </row>
    <row r="27">
      <c r="A27" s="4" t="inlineStr">
        <is>
          <t>Mass Cuda</t>
        </is>
      </c>
      <c r="B27" t="n">
        <v>400</v>
      </c>
      <c r="C27" t="n">
        <v>928</v>
      </c>
      <c r="D27" t="n">
        <v>3420</v>
      </c>
      <c r="G27" t="inlineStr">
        <is>
          <t>MASS-Hopper</t>
        </is>
      </c>
      <c r="H27">
        <f>B$25/B27</f>
        <v/>
      </c>
      <c r="I27">
        <f>C$25/C27</f>
        <v/>
      </c>
      <c r="J27">
        <f>D$25/D27</f>
        <v/>
      </c>
    </row>
    <row r="28"/>
    <row r="29">
      <c r="G29" t="inlineStr">
        <is>
          <t>MASS_CUDA/gpu-opt Hopper</t>
        </is>
      </c>
      <c r="H29">
        <f>B27/B26</f>
        <v/>
      </c>
      <c r="I29">
        <f>C27/C26</f>
        <v/>
      </c>
      <c r="J29">
        <f>D27/D26</f>
        <v/>
      </c>
    </row>
    <row r="30">
      <c r="D30" s="3" t="n"/>
    </row>
    <row r="31">
      <c r="A31" t="inlineStr">
        <is>
          <t>amz</t>
        </is>
      </c>
    </row>
    <row r="32">
      <c r="A32" s="4" t="inlineStr">
        <is>
          <t xml:space="preserve">3 years </t>
        </is>
      </c>
      <c r="B32" s="4" t="n"/>
      <c r="C32" s="4" t="n"/>
      <c r="D32" s="4" t="n"/>
      <c r="E32" s="4" t="n"/>
      <c r="F32" s="4" t="n"/>
      <c r="G32" s="4" t="inlineStr">
        <is>
          <t xml:space="preserve">3 years </t>
        </is>
      </c>
      <c r="H32" s="4" t="n"/>
      <c r="I32" s="4" t="n"/>
      <c r="J32" s="4" t="n"/>
    </row>
    <row r="33">
      <c r="A33" s="4" t="n"/>
      <c r="B33" s="5" t="n">
        <v>0.01</v>
      </c>
      <c r="C33" s="5" t="n">
        <v>0.03</v>
      </c>
      <c r="D33" s="5" t="n">
        <v>0.06</v>
      </c>
      <c r="E33" s="5" t="n"/>
      <c r="F33" s="5" t="n"/>
      <c r="G33" s="4" t="n"/>
      <c r="H33" s="5" t="n">
        <v>0.01</v>
      </c>
      <c r="I33" s="5" t="n">
        <v>0.03</v>
      </c>
      <c r="J33" s="5" t="n">
        <v>0.06</v>
      </c>
    </row>
    <row r="34">
      <c r="A34" s="4" t="inlineStr">
        <is>
          <t>CPU-16T (Intel Xeon Platinum 8480+)</t>
        </is>
      </c>
      <c r="B34" s="4" t="n">
        <v>7.47</v>
      </c>
      <c r="C34" s="4" t="n">
        <v>11.516</v>
      </c>
      <c r="D34" s="4" t="n">
        <v>13.754</v>
      </c>
      <c r="E34" s="4" t="n"/>
      <c r="F34" s="4" t="n"/>
      <c r="G34" s="4" t="inlineStr">
        <is>
          <t>CPU-16T</t>
        </is>
      </c>
      <c r="H34" s="4" t="e">
        <v>#DIV/0!</v>
      </c>
      <c r="I34" s="4" t="e">
        <v>#DIV/0!</v>
      </c>
      <c r="J34" s="4" t="e">
        <v>#DIV/0!</v>
      </c>
    </row>
    <row r="35">
      <c r="A35" s="4" t="inlineStr">
        <is>
          <t>ParAGraph</t>
        </is>
      </c>
      <c r="B35" s="4" t="n">
        <v>10.876</v>
      </c>
      <c r="C35" s="4" t="n">
        <v>17.556</v>
      </c>
      <c r="D35" s="4" t="n">
        <v>25.194</v>
      </c>
      <c r="E35" s="4" t="n"/>
      <c r="F35" s="4" t="n"/>
      <c r="G35" s="4" t="inlineStr">
        <is>
          <t>GPU-Hopper</t>
        </is>
      </c>
      <c r="H35" s="4" t="e">
        <v>#DIV/0!</v>
      </c>
      <c r="I35" s="4" t="e">
        <v>#DIV/0!</v>
      </c>
      <c r="J35" s="4" t="e">
        <v>#DIV/0!</v>
      </c>
    </row>
    <row r="36">
      <c r="A36" s="4" t="inlineStr">
        <is>
          <t>Mass Cuda</t>
        </is>
      </c>
      <c r="B36" s="4" t="n">
        <v>8</v>
      </c>
      <c r="C36" s="4" t="n">
        <v>13</v>
      </c>
      <c r="D36" s="4" t="n">
        <v>23</v>
      </c>
      <c r="E36" s="4" t="n"/>
      <c r="F36" s="4" t="n"/>
      <c r="G36" s="4" t="inlineStr">
        <is>
          <t>MASS-Hopper</t>
        </is>
      </c>
      <c r="H36" s="4" t="e">
        <v>#DIV/0!</v>
      </c>
      <c r="I36" s="4" t="e">
        <v>#DIV/0!</v>
      </c>
      <c r="J36" s="4" t="e">
        <v>#DIV/0!</v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inlineStr">
        <is>
          <t>MASS_CUDA/gpu-opt Hopper</t>
        </is>
      </c>
      <c r="H38" s="4" t="e">
        <v>#DIV/0!</v>
      </c>
      <c r="I38" s="4" t="e">
        <v>#DIV/0!</v>
      </c>
      <c r="J38" s="4" t="e">
        <v>#DIV/0!</v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inlineStr">
        <is>
          <t>TIMING (seconds)</t>
        </is>
      </c>
      <c r="B40" s="4" t="n"/>
      <c r="C40" s="4" t="n"/>
      <c r="D40" s="4" t="n"/>
      <c r="E40" s="4" t="n"/>
      <c r="F40" s="4" t="n"/>
      <c r="G40" s="4" t="inlineStr">
        <is>
          <t>Speedup</t>
        </is>
      </c>
      <c r="H40" s="4" t="n"/>
      <c r="I40" s="4" t="n"/>
      <c r="J40" s="4" t="n"/>
    </row>
    <row r="41">
      <c r="A41" s="4" t="inlineStr">
        <is>
          <t xml:space="preserve">10 years </t>
        </is>
      </c>
      <c r="B41" s="4" t="n"/>
      <c r="C41" s="4" t="n"/>
      <c r="D41" s="4" t="n"/>
      <c r="E41" s="4" t="n"/>
      <c r="F41" s="4" t="n"/>
      <c r="G41" s="4" t="inlineStr">
        <is>
          <t xml:space="preserve">10 years </t>
        </is>
      </c>
      <c r="H41" s="4" t="n"/>
      <c r="I41" s="4" t="n"/>
      <c r="J41" s="4" t="n"/>
    </row>
    <row r="42">
      <c r="A42" s="4" t="n"/>
      <c r="B42" s="5" t="n">
        <v>0.01</v>
      </c>
      <c r="C42" s="5" t="n">
        <v>0.03</v>
      </c>
      <c r="D42" s="5" t="n">
        <v>0.06</v>
      </c>
      <c r="E42" s="5" t="n"/>
      <c r="F42" s="5" t="n"/>
      <c r="G42" s="4" t="n"/>
      <c r="H42" s="5" t="n">
        <v>0.01</v>
      </c>
      <c r="I42" s="5" t="n">
        <v>0.03</v>
      </c>
      <c r="J42" s="5" t="n">
        <v>0.06</v>
      </c>
    </row>
    <row r="43">
      <c r="A43" s="4" t="inlineStr">
        <is>
          <t>CPU-16T (Intel Xeon Platinum 8480+)</t>
        </is>
      </c>
      <c r="B43" s="4" t="n">
        <v>14.326</v>
      </c>
      <c r="C43" s="4" t="n">
        <v>23.92</v>
      </c>
      <c r="D43" s="4" t="n">
        <v>48.615</v>
      </c>
      <c r="E43" s="4" t="n"/>
      <c r="F43" s="4" t="n"/>
      <c r="G43" s="4" t="inlineStr">
        <is>
          <t>CPU-16T</t>
        </is>
      </c>
      <c r="H43" s="4" t="e">
        <v>#DIV/0!</v>
      </c>
      <c r="I43" s="4" t="e">
        <v>#DIV/0!</v>
      </c>
      <c r="J43" s="4" t="e">
        <v>#DIV/0!</v>
      </c>
    </row>
    <row r="44">
      <c r="A44" s="4" t="inlineStr">
        <is>
          <t>ParAGraph</t>
        </is>
      </c>
      <c r="B44" s="4" t="n">
        <v>27.664</v>
      </c>
      <c r="C44" s="4" t="n">
        <v>51.048</v>
      </c>
      <c r="D44" s="4" t="n">
        <v>102.257</v>
      </c>
      <c r="E44" s="4" t="n"/>
      <c r="F44" s="4" t="n"/>
      <c r="G44" s="4" t="inlineStr">
        <is>
          <t>GPU-Hopper</t>
        </is>
      </c>
      <c r="H44" s="4" t="e">
        <v>#DIV/0!</v>
      </c>
      <c r="I44" s="4" t="e">
        <v>#DIV/0!</v>
      </c>
      <c r="J44" s="4" t="e">
        <v>#DIV/0!</v>
      </c>
    </row>
    <row r="45">
      <c r="A45" s="4" t="inlineStr">
        <is>
          <t>Mass Cuda</t>
        </is>
      </c>
      <c r="B45" s="4" t="n">
        <v>31</v>
      </c>
      <c r="C45" s="4" t="n">
        <v>55</v>
      </c>
      <c r="D45" s="4" t="n">
        <v>109</v>
      </c>
      <c r="E45" s="4" t="n"/>
      <c r="F45" s="4" t="n"/>
      <c r="G45" s="4" t="inlineStr">
        <is>
          <t>MASS-Hopper</t>
        </is>
      </c>
      <c r="H45" s="4" t="e">
        <v>#DIV/0!</v>
      </c>
      <c r="I45" s="4" t="e">
        <v>#DIV/0!</v>
      </c>
      <c r="J45" s="4" t="e">
        <v>#DIV/0!</v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inlineStr">
        <is>
          <t>MASS_CUDA/gpu-opt Hopper</t>
        </is>
      </c>
      <c r="H47" s="4" t="e">
        <v>#DIV/0!</v>
      </c>
      <c r="I47" s="4" t="e">
        <v>#DIV/0!</v>
      </c>
      <c r="J47" s="4" t="e">
        <v>#DIV/0!</v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inlineStr">
        <is>
          <t>TIMING (seconds)</t>
        </is>
      </c>
      <c r="B50" s="4" t="n"/>
      <c r="C50" s="4" t="n"/>
      <c r="D50" s="4" t="n"/>
      <c r="E50" s="4" t="n"/>
      <c r="F50" s="4" t="n"/>
      <c r="G50" s="4" t="inlineStr">
        <is>
          <t>Speedup</t>
        </is>
      </c>
      <c r="H50" s="4" t="n"/>
      <c r="I50" s="4" t="n"/>
      <c r="J50" s="4" t="n"/>
    </row>
    <row r="51">
      <c r="A51" s="4" t="inlineStr">
        <is>
          <t>30 years</t>
        </is>
      </c>
      <c r="B51" s="4" t="n"/>
      <c r="C51" s="4" t="n"/>
      <c r="D51" s="4" t="n"/>
      <c r="E51" s="4" t="n"/>
      <c r="F51" s="4" t="n"/>
      <c r="G51" s="4" t="inlineStr">
        <is>
          <t>30 years</t>
        </is>
      </c>
      <c r="H51" s="4" t="n"/>
      <c r="I51" s="4" t="n"/>
      <c r="J51" s="4" t="n"/>
    </row>
    <row r="52">
      <c r="A52" s="4" t="n"/>
      <c r="B52" s="5" t="n">
        <v>0.01</v>
      </c>
      <c r="C52" s="5" t="n">
        <v>0.03</v>
      </c>
      <c r="D52" s="5" t="n">
        <v>0.06</v>
      </c>
      <c r="E52" s="5" t="n"/>
      <c r="F52" s="5" t="n"/>
      <c r="G52" s="4" t="n"/>
      <c r="H52" s="5" t="n">
        <v>0.01</v>
      </c>
      <c r="I52" s="5" t="n">
        <v>0.03</v>
      </c>
      <c r="J52" s="5" t="n">
        <v>0.06</v>
      </c>
    </row>
    <row r="53">
      <c r="A53" s="4" t="inlineStr">
        <is>
          <t>CPU-16T (Intel Xeon Platinum 8480+)</t>
        </is>
      </c>
      <c r="B53" s="4" t="n">
        <v>36.766</v>
      </c>
      <c r="C53" s="4" t="n">
        <v>502.524</v>
      </c>
      <c r="D53" s="4" t="n"/>
      <c r="E53" s="4" t="n"/>
      <c r="F53" s="4" t="n"/>
      <c r="G53" s="4" t="inlineStr">
        <is>
          <t>CPU-16T</t>
        </is>
      </c>
      <c r="H53" s="4" t="e">
        <v>#DIV/0!</v>
      </c>
      <c r="I53" s="4" t="e">
        <v>#DIV/0!</v>
      </c>
      <c r="J53" s="4" t="e">
        <v>#DIV/0!</v>
      </c>
    </row>
    <row r="54">
      <c r="A54" s="4" t="inlineStr">
        <is>
          <t>ParAGraph</t>
        </is>
      </c>
      <c r="B54" s="4" t="n">
        <v>88.84699999999999</v>
      </c>
      <c r="C54" s="4" t="n">
        <v>229.548</v>
      </c>
      <c r="D54" s="4" t="n">
        <v>1296.147</v>
      </c>
      <c r="E54" s="4" t="n"/>
      <c r="F54" s="4" t="n"/>
      <c r="G54" s="4" t="inlineStr">
        <is>
          <t>GPU-Hopper</t>
        </is>
      </c>
      <c r="H54" s="4" t="e">
        <v>#DIV/0!</v>
      </c>
      <c r="I54" s="4" t="e">
        <v>#DIV/0!</v>
      </c>
      <c r="J54" s="4" t="e">
        <v>#DIV/0!</v>
      </c>
    </row>
    <row r="55">
      <c r="A55" s="4" t="inlineStr">
        <is>
          <t>Mass Cuda</t>
        </is>
      </c>
      <c r="B55" s="4" t="n">
        <v>130</v>
      </c>
      <c r="C55" s="4" t="n">
        <v>435</v>
      </c>
      <c r="D55" s="4" t="n">
        <v>2413</v>
      </c>
      <c r="E55" s="4" t="n"/>
      <c r="F55" s="4" t="n"/>
      <c r="G55" s="4" t="inlineStr">
        <is>
          <t>MASS-Hopper</t>
        </is>
      </c>
      <c r="H55" s="4" t="e">
        <v>#DIV/0!</v>
      </c>
      <c r="I55" s="4" t="e">
        <v>#DIV/0!</v>
      </c>
      <c r="J55" s="4" t="e">
        <v>#DIV/0!</v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inlineStr">
        <is>
          <t>MASS_CUDA/gpu-opt Hopper</t>
        </is>
      </c>
      <c r="H57" s="4" t="e">
        <v>#DIV/0!</v>
      </c>
      <c r="I57" s="4" t="e">
        <v>#DIV/0!</v>
      </c>
      <c r="J57" s="4" t="e">
        <v>#DIV/0!</v>
      </c>
    </row>
    <row r="58"/>
    <row r="59">
      <c r="A59" t="inlineStr">
        <is>
          <t>eu</t>
        </is>
      </c>
    </row>
    <row r="60">
      <c r="A60" s="4" t="inlineStr">
        <is>
          <t xml:space="preserve">3 years </t>
        </is>
      </c>
      <c r="B60" s="4" t="n"/>
      <c r="C60" s="4" t="n"/>
      <c r="D60" s="4" t="n"/>
      <c r="E60" s="4" t="n"/>
      <c r="F60" s="4" t="n"/>
      <c r="G60" s="4" t="inlineStr">
        <is>
          <t xml:space="preserve">3 years </t>
        </is>
      </c>
      <c r="H60" s="4" t="n"/>
      <c r="I60" s="4" t="n"/>
      <c r="J60" s="4" t="n"/>
    </row>
    <row r="61">
      <c r="A61" s="4" t="n"/>
      <c r="B61" s="5" t="n">
        <v>0.01</v>
      </c>
      <c r="C61" s="5" t="n">
        <v>0.03</v>
      </c>
      <c r="D61" s="5" t="n">
        <v>0.06</v>
      </c>
      <c r="E61" s="5" t="n"/>
      <c r="F61" s="5" t="n"/>
      <c r="G61" s="4" t="n"/>
      <c r="H61" s="5" t="n">
        <v>0.01</v>
      </c>
      <c r="I61" s="5" t="n">
        <v>0.03</v>
      </c>
      <c r="J61" s="5" t="n">
        <v>0.06</v>
      </c>
    </row>
    <row r="62">
      <c r="A62" s="4" t="inlineStr">
        <is>
          <t>CPU-16T (Intel Xeon Platinum 8480+)</t>
        </is>
      </c>
      <c r="B62" s="4" t="n">
        <v>5.889</v>
      </c>
      <c r="C62" s="4" t="n">
        <v>9.294</v>
      </c>
      <c r="D62" s="4" t="n">
        <v>19.255</v>
      </c>
      <c r="E62" s="4" t="n"/>
      <c r="F62" s="4" t="n"/>
      <c r="G62" s="4" t="inlineStr">
        <is>
          <t>CPU-16T</t>
        </is>
      </c>
      <c r="H62" s="4" t="e">
        <v>#DIV/0!</v>
      </c>
      <c r="I62" s="4" t="e">
        <v>#DIV/0!</v>
      </c>
      <c r="J62" s="4" t="e">
        <v>#DIV/0!</v>
      </c>
    </row>
    <row r="63">
      <c r="A63" s="4" t="inlineStr">
        <is>
          <t>ParAGraph</t>
        </is>
      </c>
      <c r="B63" s="4" t="n">
        <v>7.202</v>
      </c>
      <c r="C63" s="4" t="n">
        <v>11.079</v>
      </c>
      <c r="D63" s="4" t="n">
        <v>18.815</v>
      </c>
      <c r="E63" s="4" t="n"/>
      <c r="F63" s="4" t="n"/>
      <c r="G63" s="4" t="inlineStr">
        <is>
          <t>GPU-Hopper</t>
        </is>
      </c>
      <c r="H63" s="4" t="e">
        <v>#DIV/0!</v>
      </c>
      <c r="I63" s="4" t="e">
        <v>#DIV/0!</v>
      </c>
      <c r="J63" s="4" t="e">
        <v>#DIV/0!</v>
      </c>
    </row>
    <row r="64">
      <c r="A64" s="4" t="inlineStr">
        <is>
          <t>Mass Cuda</t>
        </is>
      </c>
      <c r="B64" s="4" t="n">
        <v>5</v>
      </c>
      <c r="C64" s="4" t="n">
        <v>11</v>
      </c>
      <c r="D64" s="4" t="n">
        <v>27</v>
      </c>
      <c r="E64" s="4" t="n"/>
      <c r="F64" s="4" t="n"/>
      <c r="G64" s="4" t="inlineStr">
        <is>
          <t>MASS-Hopper</t>
        </is>
      </c>
      <c r="H64" s="4" t="e">
        <v>#DIV/0!</v>
      </c>
      <c r="I64" s="4" t="e">
        <v>#DIV/0!</v>
      </c>
      <c r="J64" s="4" t="e">
        <v>#DIV/0!</v>
      </c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inlineStr">
        <is>
          <t>MASS_CUDA/gpu-opt Hopper</t>
        </is>
      </c>
      <c r="H66" s="4" t="e">
        <v>#DIV/0!</v>
      </c>
      <c r="I66" s="4" t="e">
        <v>#DIV/0!</v>
      </c>
      <c r="J66" s="4" t="e">
        <v>#DIV/0!</v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inlineStr">
        <is>
          <t>TIMING (seconds)</t>
        </is>
      </c>
      <c r="B68" s="4" t="n"/>
      <c r="C68" s="4" t="n"/>
      <c r="D68" s="4" t="n"/>
      <c r="E68" s="4" t="n"/>
      <c r="F68" s="4" t="n"/>
      <c r="G68" s="4" t="inlineStr">
        <is>
          <t>Speedup</t>
        </is>
      </c>
      <c r="H68" s="4" t="n"/>
      <c r="I68" s="4" t="n"/>
      <c r="J68" s="4" t="n"/>
    </row>
    <row r="69">
      <c r="A69" s="4" t="inlineStr">
        <is>
          <t xml:space="preserve">10 years </t>
        </is>
      </c>
      <c r="B69" s="4" t="n"/>
      <c r="C69" s="4" t="n"/>
      <c r="D69" s="4" t="n"/>
      <c r="E69" s="4" t="n"/>
      <c r="F69" s="4" t="n"/>
      <c r="G69" s="4" t="inlineStr">
        <is>
          <t xml:space="preserve">10 years </t>
        </is>
      </c>
      <c r="H69" s="4" t="n"/>
      <c r="I69" s="4" t="n"/>
      <c r="J69" s="4" t="n"/>
    </row>
    <row r="70">
      <c r="A70" s="4" t="n"/>
      <c r="B70" s="5" t="n">
        <v>0.01</v>
      </c>
      <c r="C70" s="5" t="n">
        <v>0.03</v>
      </c>
      <c r="D70" s="5" t="n">
        <v>0.06</v>
      </c>
      <c r="E70" s="5" t="n"/>
      <c r="F70" s="5" t="n"/>
      <c r="G70" s="4" t="n"/>
      <c r="H70" s="5" t="n">
        <v>0.01</v>
      </c>
      <c r="I70" s="5" t="n">
        <v>0.03</v>
      </c>
      <c r="J70" s="5" t="n">
        <v>0.06</v>
      </c>
    </row>
    <row r="71">
      <c r="A71" s="4" t="inlineStr">
        <is>
          <t>CPU-16T (Intel Xeon Platinum 8480+)</t>
        </is>
      </c>
      <c r="B71" s="4" t="n">
        <v>11.263</v>
      </c>
      <c r="C71" s="4" t="n">
        <v>33.784</v>
      </c>
      <c r="D71" s="4" t="n">
        <v>196.611</v>
      </c>
      <c r="E71" s="4" t="n"/>
      <c r="F71" s="4" t="n"/>
      <c r="G71" s="4" t="inlineStr">
        <is>
          <t>CPU-16T</t>
        </is>
      </c>
      <c r="H71" s="4" t="e">
        <v>#DIV/0!</v>
      </c>
      <c r="I71" s="4" t="e">
        <v>#DIV/0!</v>
      </c>
      <c r="J71" s="4" t="e">
        <v>#DIV/0!</v>
      </c>
    </row>
    <row r="72">
      <c r="A72" s="4" t="inlineStr">
        <is>
          <t>ParAGraph</t>
        </is>
      </c>
      <c r="B72" s="4" t="n">
        <v>18.743</v>
      </c>
      <c r="C72" s="4" t="n">
        <v>38.147</v>
      </c>
      <c r="D72" s="4" t="n">
        <v>82.087</v>
      </c>
      <c r="E72" s="4" t="n"/>
      <c r="F72" s="4" t="n"/>
      <c r="G72" s="4" t="inlineStr">
        <is>
          <t>GPU-Hopper</t>
        </is>
      </c>
      <c r="H72" s="4" t="e">
        <v>#DIV/0!</v>
      </c>
      <c r="I72" s="4" t="e">
        <v>#DIV/0!</v>
      </c>
      <c r="J72" s="4" t="e">
        <v>#DIV/0!</v>
      </c>
    </row>
    <row r="73">
      <c r="A73" s="4" t="inlineStr">
        <is>
          <t>Mass Cuda</t>
        </is>
      </c>
      <c r="B73" s="4" t="n">
        <v>24</v>
      </c>
      <c r="C73" s="4" t="n">
        <v>68</v>
      </c>
      <c r="D73" s="4" t="n">
        <v>259</v>
      </c>
      <c r="E73" s="4" t="n"/>
      <c r="F73" s="4" t="n"/>
      <c r="G73" s="4" t="inlineStr">
        <is>
          <t>MASS-Hopper</t>
        </is>
      </c>
      <c r="H73" s="4" t="e">
        <v>#DIV/0!</v>
      </c>
      <c r="I73" s="4" t="e">
        <v>#DIV/0!</v>
      </c>
      <c r="J73" s="4" t="e">
        <v>#DIV/0!</v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inlineStr">
        <is>
          <t>MASS_CUDA/gpu-opt Hopper</t>
        </is>
      </c>
      <c r="H75" s="4" t="e">
        <v>#DIV/0!</v>
      </c>
      <c r="I75" s="4" t="e">
        <v>#DIV/0!</v>
      </c>
      <c r="J75" s="4" t="e">
        <v>#DIV/0!</v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inlineStr">
        <is>
          <t>TIMING (seconds)</t>
        </is>
      </c>
      <c r="B78" s="4" t="n"/>
      <c r="C78" s="4" t="n"/>
      <c r="D78" s="4" t="n"/>
      <c r="E78" s="4" t="n"/>
      <c r="F78" s="4" t="n"/>
      <c r="G78" s="4" t="inlineStr">
        <is>
          <t>Speedup</t>
        </is>
      </c>
      <c r="H78" s="4" t="n"/>
      <c r="I78" s="4" t="n"/>
      <c r="J78" s="4" t="n"/>
    </row>
    <row r="79">
      <c r="A79" s="4" t="inlineStr">
        <is>
          <t>30 years</t>
        </is>
      </c>
      <c r="B79" s="4" t="n"/>
      <c r="C79" s="4" t="n"/>
      <c r="D79" s="4" t="n"/>
      <c r="E79" s="4" t="n"/>
      <c r="F79" s="4" t="n"/>
      <c r="G79" s="4" t="inlineStr">
        <is>
          <t>30 years</t>
        </is>
      </c>
      <c r="H79" s="4" t="n"/>
      <c r="I79" s="4" t="n"/>
      <c r="J79" s="4" t="n"/>
    </row>
    <row r="80">
      <c r="A80" s="4" t="n"/>
      <c r="B80" s="5" t="n">
        <v>0.01</v>
      </c>
      <c r="C80" s="5" t="n">
        <v>0.03</v>
      </c>
      <c r="D80" s="5" t="n">
        <v>0.06</v>
      </c>
      <c r="E80" s="5" t="n"/>
      <c r="F80" s="5" t="n"/>
      <c r="G80" s="4" t="n"/>
      <c r="H80" s="5" t="n">
        <v>0.01</v>
      </c>
      <c r="I80" s="5" t="n">
        <v>0.03</v>
      </c>
      <c r="J80" s="5" t="n">
        <v>0.06</v>
      </c>
    </row>
    <row r="81">
      <c r="A81" s="4" t="inlineStr">
        <is>
          <t>CPU-16T (Intel Xeon Platinum 8480+)</t>
        </is>
      </c>
      <c r="B81" s="4" t="n">
        <v>57.46</v>
      </c>
      <c r="C81" s="4" t="n">
        <v>1806.806</v>
      </c>
      <c r="D81" s="4" t="n"/>
      <c r="E81" s="4" t="n"/>
      <c r="F81" s="4" t="n"/>
      <c r="G81" s="4" t="inlineStr">
        <is>
          <t>CPU-16T</t>
        </is>
      </c>
      <c r="H81" s="4" t="e">
        <v>#DIV/0!</v>
      </c>
      <c r="I81" s="4" t="e">
        <v>#DIV/0!</v>
      </c>
      <c r="J81" s="4" t="e">
        <v>#DIV/0!</v>
      </c>
    </row>
    <row r="82">
      <c r="A82" s="4" t="inlineStr">
        <is>
          <t>ParAGraph</t>
        </is>
      </c>
      <c r="B82" s="4" t="n">
        <v>66.84</v>
      </c>
      <c r="C82" s="4" t="n">
        <v>195.236</v>
      </c>
      <c r="D82" s="4" t="n">
        <v>1040.504</v>
      </c>
      <c r="E82" s="4" t="n"/>
      <c r="F82" s="4" t="n"/>
      <c r="G82" s="4" t="inlineStr">
        <is>
          <t>GPU-Hopper</t>
        </is>
      </c>
      <c r="H82" s="4" t="e">
        <v>#DIV/0!</v>
      </c>
      <c r="I82" s="4" t="e">
        <v>#DIV/0!</v>
      </c>
      <c r="J82" s="4" t="e">
        <v>#DIV/0!</v>
      </c>
    </row>
    <row r="83">
      <c r="A83" s="4" t="inlineStr">
        <is>
          <t>Mass Cuda</t>
        </is>
      </c>
      <c r="B83" s="4" t="n">
        <v>166</v>
      </c>
      <c r="C83" s="4" t="n">
        <v>700</v>
      </c>
      <c r="D83" s="4" t="n">
        <v>3152</v>
      </c>
      <c r="E83" s="4" t="n"/>
      <c r="F83" s="4" t="n"/>
      <c r="G83" s="4" t="inlineStr">
        <is>
          <t>MASS-Hopper</t>
        </is>
      </c>
      <c r="H83" s="4" t="e">
        <v>#DIV/0!</v>
      </c>
      <c r="I83" s="4" t="e">
        <v>#DIV/0!</v>
      </c>
      <c r="J83" s="4" t="e">
        <v>#DIV/0!</v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inlineStr">
        <is>
          <t>MASS_CUDA/gpu-opt Hopper</t>
        </is>
      </c>
      <c r="H85" s="4" t="e">
        <v>#DIV/0!</v>
      </c>
      <c r="I85" s="4" t="e">
        <v>#DIV/0!</v>
      </c>
      <c r="J85" s="4" t="e">
        <v>#DIV/0!</v>
      </c>
    </row>
    <row r="86"/>
    <row r="87">
      <c r="A87" t="inlineStr">
        <is>
          <t>yutb</t>
        </is>
      </c>
    </row>
    <row r="88">
      <c r="A88" s="4" t="inlineStr">
        <is>
          <t xml:space="preserve">3 years </t>
        </is>
      </c>
      <c r="B88" s="4" t="n"/>
      <c r="C88" s="4" t="n"/>
      <c r="D88" s="4" t="n"/>
      <c r="E88" s="4" t="n"/>
      <c r="F88" s="4" t="n"/>
      <c r="G88" s="4" t="inlineStr">
        <is>
          <t xml:space="preserve">3 years </t>
        </is>
      </c>
      <c r="H88" s="4" t="n"/>
      <c r="I88" s="4" t="n"/>
      <c r="J88" s="4" t="n"/>
    </row>
    <row r="89">
      <c r="A89" s="4" t="n"/>
      <c r="B89" s="5" t="n">
        <v>0.01</v>
      </c>
      <c r="C89" s="5" t="n">
        <v>0.03</v>
      </c>
      <c r="D89" s="5" t="n">
        <v>0.06</v>
      </c>
      <c r="E89" s="5" t="n"/>
      <c r="F89" s="5" t="n"/>
      <c r="G89" s="4" t="n"/>
      <c r="H89" s="5" t="n">
        <v>0.01</v>
      </c>
      <c r="I89" s="5" t="n">
        <v>0.03</v>
      </c>
      <c r="J89" s="5" t="n">
        <v>0.06</v>
      </c>
    </row>
    <row r="90">
      <c r="A90" s="4" t="inlineStr">
        <is>
          <t>CPU-16T (Intel Xeon Platinum 8480+)</t>
        </is>
      </c>
      <c r="B90" s="4" t="n">
        <v>31.155</v>
      </c>
      <c r="C90" s="4" t="n">
        <v>59.089</v>
      </c>
      <c r="D90" s="4" t="n">
        <v>104.908</v>
      </c>
      <c r="E90" s="4" t="n"/>
      <c r="F90" s="4" t="n"/>
      <c r="G90" s="4" t="inlineStr">
        <is>
          <t>CPU-16T</t>
        </is>
      </c>
      <c r="H90" s="4" t="e">
        <v>#DIV/0!</v>
      </c>
      <c r="I90" s="4" t="e">
        <v>#DIV/0!</v>
      </c>
      <c r="J90" s="4" t="e">
        <v>#DIV/0!</v>
      </c>
    </row>
    <row r="91">
      <c r="A91" s="4" t="inlineStr">
        <is>
          <t>ParAGraph</t>
        </is>
      </c>
      <c r="B91" s="4" t="n">
        <v>37.512</v>
      </c>
      <c r="C91" s="4" t="n">
        <v>62.632</v>
      </c>
      <c r="D91" s="4" t="n">
        <v>108.624</v>
      </c>
      <c r="E91" s="4" t="n"/>
      <c r="F91" s="4" t="n"/>
      <c r="G91" s="4" t="inlineStr">
        <is>
          <t>GPU-Hopper</t>
        </is>
      </c>
      <c r="H91" s="4" t="e">
        <v>#DIV/0!</v>
      </c>
      <c r="I91" s="4" t="e">
        <v>#DIV/0!</v>
      </c>
      <c r="J91" s="4" t="e">
        <v>#DIV/0!</v>
      </c>
    </row>
    <row r="92">
      <c r="A92" s="4" t="inlineStr">
        <is>
          <t>Mass Cuda</t>
        </is>
      </c>
      <c r="B92" s="4" t="n">
        <v>31</v>
      </c>
      <c r="C92" s="4" t="n">
        <v>42</v>
      </c>
      <c r="D92" s="4" t="n">
        <v>84</v>
      </c>
      <c r="E92" s="4" t="n"/>
      <c r="F92" s="4" t="n"/>
      <c r="G92" s="4" t="inlineStr">
        <is>
          <t>MASS-Hopper</t>
        </is>
      </c>
      <c r="H92" s="4" t="e">
        <v>#DIV/0!</v>
      </c>
      <c r="I92" s="4" t="e">
        <v>#DIV/0!</v>
      </c>
      <c r="J92" s="4" t="e">
        <v>#DIV/0!</v>
      </c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inlineStr">
        <is>
          <t>MASS_CUDA/gpu-opt Hopper</t>
        </is>
      </c>
      <c r="H94" s="4" t="e">
        <v>#DIV/0!</v>
      </c>
      <c r="I94" s="4" t="e">
        <v>#DIV/0!</v>
      </c>
      <c r="J94" s="4" t="e">
        <v>#DIV/0!</v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inlineStr">
        <is>
          <t>TIMING (seconds)</t>
        </is>
      </c>
      <c r="B96" s="4" t="n"/>
      <c r="C96" s="4" t="n"/>
      <c r="D96" s="4" t="n"/>
      <c r="E96" s="4" t="n"/>
      <c r="F96" s="4" t="n"/>
      <c r="G96" s="4" t="inlineStr">
        <is>
          <t>Speedup</t>
        </is>
      </c>
      <c r="H96" s="4" t="n"/>
      <c r="I96" s="4" t="n"/>
      <c r="J96" s="4" t="n"/>
    </row>
    <row r="97">
      <c r="A97" s="4" t="inlineStr">
        <is>
          <t xml:space="preserve">10 years </t>
        </is>
      </c>
      <c r="B97" s="4" t="n"/>
      <c r="C97" s="4" t="n"/>
      <c r="D97" s="4" t="n"/>
      <c r="E97" s="4" t="n"/>
      <c r="F97" s="4" t="n"/>
      <c r="G97" s="4" t="inlineStr">
        <is>
          <t xml:space="preserve">10 years </t>
        </is>
      </c>
      <c r="H97" s="4" t="n"/>
      <c r="I97" s="4" t="n"/>
      <c r="J97" s="4" t="n"/>
    </row>
    <row r="98">
      <c r="A98" s="4" t="n"/>
      <c r="B98" s="5" t="n">
        <v>0.01</v>
      </c>
      <c r="C98" s="5" t="n">
        <v>0.03</v>
      </c>
      <c r="D98" s="5" t="n">
        <v>0.06</v>
      </c>
      <c r="E98" s="5" t="n"/>
      <c r="F98" s="5" t="n"/>
      <c r="G98" s="4" t="n"/>
      <c r="H98" s="5" t="n">
        <v>0.01</v>
      </c>
      <c r="I98" s="5" t="n">
        <v>0.03</v>
      </c>
      <c r="J98" s="5" t="n">
        <v>0.06</v>
      </c>
    </row>
    <row r="99">
      <c r="A99" s="4" t="inlineStr">
        <is>
          <t>CPU-16T (Intel Xeon Platinum 8480+)</t>
        </is>
      </c>
      <c r="B99" s="4" t="n">
        <v>68.605</v>
      </c>
      <c r="C99" s="4" t="n">
        <v>355.6</v>
      </c>
      <c r="D99" s="4" t="n">
        <v>3089.958</v>
      </c>
      <c r="E99" s="4" t="n"/>
      <c r="F99" s="4" t="n"/>
      <c r="G99" s="4" t="inlineStr">
        <is>
          <t>CPU-16T</t>
        </is>
      </c>
      <c r="H99" s="4" t="e">
        <v>#DIV/0!</v>
      </c>
      <c r="I99" s="4" t="e">
        <v>#DIV/0!</v>
      </c>
      <c r="J99" s="4" t="e">
        <v>#DIV/0!</v>
      </c>
    </row>
    <row r="100">
      <c r="A100" s="4" t="inlineStr">
        <is>
          <t>ParAGraph</t>
        </is>
      </c>
      <c r="B100" s="4" t="n">
        <v>104.039</v>
      </c>
      <c r="C100" s="4" t="n">
        <v>225.332</v>
      </c>
      <c r="D100" s="4" t="n">
        <v>529.289</v>
      </c>
      <c r="E100" s="4" t="n"/>
      <c r="F100" s="4" t="n"/>
      <c r="G100" s="4" t="inlineStr">
        <is>
          <t>GPU-Hopper</t>
        </is>
      </c>
      <c r="H100" s="4" t="e">
        <v>#DIV/0!</v>
      </c>
      <c r="I100" s="4" t="e">
        <v>#DIV/0!</v>
      </c>
      <c r="J100" s="4" t="e">
        <v>#DIV/0!</v>
      </c>
    </row>
    <row r="101">
      <c r="A101" s="4" t="inlineStr">
        <is>
          <t>Mass Cuda</t>
        </is>
      </c>
      <c r="B101" s="4" t="n">
        <v>129</v>
      </c>
      <c r="C101" s="4" t="n">
        <v>242</v>
      </c>
      <c r="D101" s="4" t="n">
        <v>706</v>
      </c>
      <c r="E101" s="4" t="n"/>
      <c r="F101" s="4" t="n"/>
      <c r="G101" s="4" t="inlineStr">
        <is>
          <t>MASS-Hopper</t>
        </is>
      </c>
      <c r="H101" s="4" t="e">
        <v>#DIV/0!</v>
      </c>
      <c r="I101" s="4" t="e">
        <v>#DIV/0!</v>
      </c>
      <c r="J101" s="4" t="e">
        <v>#DIV/0!</v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inlineStr">
        <is>
          <t>MASS_CUDA/gpu-opt Hopper</t>
        </is>
      </c>
      <c r="H103" s="4" t="e">
        <v>#DIV/0!</v>
      </c>
      <c r="I103" s="4" t="e">
        <v>#DIV/0!</v>
      </c>
      <c r="J103" s="4" t="e">
        <v>#DIV/0!</v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4" t="inlineStr">
        <is>
          <t>TIMING (seconds)</t>
        </is>
      </c>
      <c r="B106" s="4" t="n"/>
      <c r="C106" s="4" t="n"/>
      <c r="D106" s="4" t="n"/>
      <c r="E106" s="4" t="n"/>
      <c r="F106" s="4" t="n"/>
      <c r="G106" s="4" t="inlineStr">
        <is>
          <t>Speedup</t>
        </is>
      </c>
      <c r="H106" s="4" t="n"/>
      <c r="I106" s="4" t="n"/>
      <c r="J106" s="4" t="n"/>
    </row>
    <row r="107">
      <c r="A107" s="4" t="inlineStr">
        <is>
          <t>30 years</t>
        </is>
      </c>
      <c r="B107" s="4" t="n"/>
      <c r="C107" s="4" t="n"/>
      <c r="D107" s="4" t="n"/>
      <c r="E107" s="4" t="n"/>
      <c r="F107" s="4" t="n"/>
      <c r="G107" s="4" t="inlineStr">
        <is>
          <t>30 years</t>
        </is>
      </c>
      <c r="H107" s="4" t="n"/>
      <c r="I107" s="4" t="n"/>
      <c r="J107" s="4" t="n"/>
    </row>
    <row r="108">
      <c r="A108" s="4" t="n"/>
      <c r="B108" s="5" t="n">
        <v>0.01</v>
      </c>
      <c r="C108" s="5" t="n">
        <v>0.03</v>
      </c>
      <c r="D108" s="5" t="n">
        <v>0.06</v>
      </c>
      <c r="E108" s="5" t="n"/>
      <c r="F108" s="5" t="n"/>
      <c r="G108" s="4" t="n"/>
      <c r="H108" s="5" t="n">
        <v>0.01</v>
      </c>
      <c r="I108" s="5" t="n">
        <v>0.03</v>
      </c>
      <c r="J108" s="5" t="n">
        <v>0.06</v>
      </c>
    </row>
    <row r="109">
      <c r="A109" s="4" t="inlineStr">
        <is>
          <t>CPU-16T (Intel Xeon Platinum 8480+)</t>
        </is>
      </c>
      <c r="B109" s="4" t="n">
        <v>574.2670000000001</v>
      </c>
      <c r="C109" s="4" t="n"/>
      <c r="D109" s="4" t="n"/>
      <c r="E109" s="4" t="n"/>
      <c r="F109" s="4" t="n"/>
      <c r="G109" s="4" t="inlineStr">
        <is>
          <t>CPU-16T</t>
        </is>
      </c>
      <c r="H109" s="4" t="e">
        <v>#DIV/0!</v>
      </c>
      <c r="I109" s="4" t="e">
        <v>#DIV/0!</v>
      </c>
      <c r="J109" s="4" t="e">
        <v>#DIV/0!</v>
      </c>
    </row>
    <row r="110">
      <c r="A110" s="4" t="inlineStr">
        <is>
          <t>ParAGraph</t>
        </is>
      </c>
      <c r="B110" s="4" t="n">
        <v>350.571</v>
      </c>
      <c r="C110" s="4" t="n">
        <v>1496.511</v>
      </c>
      <c r="D110" s="4" t="n">
        <v>11886.646</v>
      </c>
      <c r="E110" s="4" t="n"/>
      <c r="F110" s="4" t="n"/>
      <c r="G110" s="4" t="inlineStr">
        <is>
          <t>GPU-Hopper</t>
        </is>
      </c>
      <c r="H110" s="4" t="e">
        <v>#DIV/0!</v>
      </c>
      <c r="I110" s="4" t="e">
        <v>#DIV/0!</v>
      </c>
      <c r="J110" s="4" t="e">
        <v>#DIV/0!</v>
      </c>
    </row>
    <row r="111">
      <c r="A111" s="4" t="inlineStr">
        <is>
          <t>Mass Cuda</t>
        </is>
      </c>
      <c r="B111" s="4" t="n">
        <v>692</v>
      </c>
      <c r="C111" s="4" t="n">
        <v>2006</v>
      </c>
      <c r="D111" s="4" t="n">
        <v>7144</v>
      </c>
      <c r="E111" s="4" t="n"/>
      <c r="F111" s="4" t="n"/>
      <c r="G111" s="4" t="inlineStr">
        <is>
          <t>MASS-Hopper</t>
        </is>
      </c>
      <c r="H111" s="4" t="e">
        <v>#DIV/0!</v>
      </c>
      <c r="I111" s="4" t="e">
        <v>#DIV/0!</v>
      </c>
      <c r="J111" s="4" t="e">
        <v>#DIV/0!</v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>
      <c r="A113" s="4" t="n"/>
      <c r="B113" s="4" t="n"/>
      <c r="C113" s="4" t="n"/>
      <c r="D113" s="4" t="n"/>
      <c r="E113" s="4" t="n"/>
      <c r="F113" s="4" t="n"/>
      <c r="G113" s="4" t="inlineStr">
        <is>
          <t>MASS_CUDA/gpu-opt Hopper</t>
        </is>
      </c>
      <c r="H113" s="4" t="e">
        <v>#DIV/0!</v>
      </c>
      <c r="I113" s="4" t="e">
        <v>#DIV/0!</v>
      </c>
      <c r="J113" s="4" t="e">
        <v>#DIV/0!</v>
      </c>
    </row>
    <row r="114"/>
    <row r="115">
      <c r="A115" t="inlineStr">
        <is>
          <t>twt</t>
        </is>
      </c>
    </row>
    <row r="116">
      <c r="A116" s="4" t="inlineStr">
        <is>
          <t xml:space="preserve">3 years </t>
        </is>
      </c>
      <c r="B116" s="4" t="n"/>
      <c r="C116" s="4" t="n"/>
      <c r="D116" s="4" t="n"/>
      <c r="E116" s="4" t="n"/>
      <c r="F116" s="4" t="n"/>
      <c r="G116" s="4" t="inlineStr">
        <is>
          <t xml:space="preserve">3 years </t>
        </is>
      </c>
      <c r="H116" s="4" t="n"/>
      <c r="I116" s="4" t="n"/>
      <c r="J116" s="4" t="n"/>
    </row>
    <row r="117">
      <c r="A117" s="4" t="n"/>
      <c r="B117" s="5" t="n">
        <v>0.01</v>
      </c>
      <c r="C117" s="5" t="n">
        <v>0.03</v>
      </c>
      <c r="D117" s="5" t="n">
        <v>0.06</v>
      </c>
      <c r="E117" s="5" t="n"/>
      <c r="F117" s="5" t="n"/>
      <c r="G117" s="4" t="n"/>
      <c r="H117" s="5" t="n">
        <v>0.01</v>
      </c>
      <c r="I117" s="5" t="n">
        <v>0.03</v>
      </c>
      <c r="J117" s="5" t="n">
        <v>0.06</v>
      </c>
    </row>
    <row r="118">
      <c r="A118" s="4" t="inlineStr">
        <is>
          <t>CPU-16T (Intel Xeon Platinum 8480+)</t>
        </is>
      </c>
      <c r="B118" t="n">
        <v>7.45</v>
      </c>
      <c r="C118" t="n">
        <v>7.909</v>
      </c>
      <c r="D118" t="n">
        <v>11.338</v>
      </c>
      <c r="E118" s="4" t="n"/>
      <c r="F118" s="4" t="n"/>
      <c r="G118" s="4" t="inlineStr">
        <is>
          <t>CPU-16T</t>
        </is>
      </c>
      <c r="H118" s="4">
        <f>B$6/B6</f>
        <v/>
      </c>
      <c r="I118" s="4" t="e">
        <v>#DIV/0!</v>
      </c>
      <c r="J118" s="4" t="e">
        <v>#DIV/0!</v>
      </c>
    </row>
    <row r="119">
      <c r="A119" s="4" t="inlineStr">
        <is>
          <t>ParAGraph</t>
        </is>
      </c>
      <c r="B119" s="4" t="n">
        <v>6.804</v>
      </c>
      <c r="C119" s="4" t="n">
        <v>8.218</v>
      </c>
      <c r="D119" s="4" t="n">
        <v>9.949</v>
      </c>
      <c r="E119" s="4" t="n"/>
      <c r="F119" s="4" t="n"/>
      <c r="G119" s="4" t="inlineStr">
        <is>
          <t>GPU-Hopper</t>
        </is>
      </c>
      <c r="H119" s="4" t="e">
        <v>#DIV/0!</v>
      </c>
      <c r="I119" s="4" t="e">
        <v>#DIV/0!</v>
      </c>
      <c r="J119" s="4" t="e">
        <v>#DIV/0!</v>
      </c>
    </row>
    <row r="120">
      <c r="A120" s="4" t="inlineStr">
        <is>
          <t>Mass Cuda</t>
        </is>
      </c>
      <c r="B120" s="4" t="n">
        <v>10</v>
      </c>
      <c r="C120" s="4" t="n">
        <v>14</v>
      </c>
      <c r="D120" s="4" t="n">
        <v>23</v>
      </c>
      <c r="E120" s="4" t="n"/>
      <c r="F120" s="4" t="n"/>
      <c r="G120" s="4" t="inlineStr">
        <is>
          <t>MASS-Hopper</t>
        </is>
      </c>
      <c r="H120" s="4" t="e">
        <v>#DIV/0!</v>
      </c>
      <c r="I120" s="4" t="e">
        <v>#DIV/0!</v>
      </c>
      <c r="J120" s="4" t="e">
        <v>#DIV/0!</v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>
      <c r="A122" s="4" t="n"/>
      <c r="B122" s="4" t="n"/>
      <c r="C122" s="4" t="n"/>
      <c r="D122" s="4" t="n"/>
      <c r="E122" s="4" t="n"/>
      <c r="F122" s="4" t="n"/>
      <c r="G122" s="4" t="inlineStr">
        <is>
          <t>MASS_CUDA/gpu-opt Hopper</t>
        </is>
      </c>
      <c r="H122" s="4" t="e">
        <v>#DIV/0!</v>
      </c>
      <c r="I122" s="4" t="e">
        <v>#DIV/0!</v>
      </c>
      <c r="J122" s="4" t="e">
        <v>#DIV/0!</v>
      </c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>
      <c r="A124" s="4" t="inlineStr">
        <is>
          <t>TIMING (seconds)</t>
        </is>
      </c>
      <c r="B124" s="4" t="n"/>
      <c r="C124" s="4" t="n"/>
      <c r="D124" s="4" t="n"/>
      <c r="E124" s="4" t="n"/>
      <c r="F124" s="4" t="n"/>
      <c r="G124" s="4" t="inlineStr">
        <is>
          <t>Speedup</t>
        </is>
      </c>
      <c r="H124" s="4" t="n"/>
      <c r="I124" s="4" t="n"/>
      <c r="J124" s="4" t="n"/>
    </row>
    <row r="125">
      <c r="A125" s="4" t="inlineStr">
        <is>
          <t xml:space="preserve">10 years </t>
        </is>
      </c>
      <c r="B125" s="4" t="n"/>
      <c r="C125" s="4" t="n"/>
      <c r="D125" s="4" t="n"/>
      <c r="E125" s="4" t="n"/>
      <c r="F125" s="4" t="n"/>
      <c r="G125" s="4" t="inlineStr">
        <is>
          <t xml:space="preserve">10 years </t>
        </is>
      </c>
      <c r="H125" s="4" t="n"/>
      <c r="I125" s="4" t="n"/>
      <c r="J125" s="4" t="n"/>
    </row>
    <row r="126">
      <c r="A126" s="4" t="n"/>
      <c r="B126" s="5" t="n">
        <v>0.01</v>
      </c>
      <c r="C126" s="5" t="n">
        <v>0.03</v>
      </c>
      <c r="D126" s="5" t="n">
        <v>0.06</v>
      </c>
      <c r="E126" s="5" t="n"/>
      <c r="F126" s="5" t="n"/>
      <c r="G126" s="4" t="n"/>
      <c r="H126" s="5" t="n">
        <v>0.01</v>
      </c>
      <c r="I126" s="5" t="n">
        <v>0.03</v>
      </c>
      <c r="J126" s="5" t="n">
        <v>0.06</v>
      </c>
    </row>
    <row r="127">
      <c r="A127" s="4" t="inlineStr">
        <is>
          <t>CPU-16T (Intel Xeon Platinum 8480+)</t>
        </is>
      </c>
      <c r="B127" t="n">
        <v>9.101000000000001</v>
      </c>
      <c r="C127" t="n">
        <v>15.095</v>
      </c>
      <c r="D127" t="n">
        <v>40.149</v>
      </c>
      <c r="E127" s="4" t="n"/>
      <c r="F127" s="4" t="n"/>
      <c r="G127" s="4" t="inlineStr">
        <is>
          <t>CPU-16T</t>
        </is>
      </c>
      <c r="H127" s="4" t="e">
        <v>#DIV/0!</v>
      </c>
      <c r="I127" s="4" t="e">
        <v>#DIV/0!</v>
      </c>
      <c r="J127" s="4" t="e">
        <v>#DIV/0!</v>
      </c>
    </row>
    <row r="128">
      <c r="A128" s="4" t="inlineStr">
        <is>
          <t>ParAGraph</t>
        </is>
      </c>
      <c r="B128" s="4" t="n">
        <v>13.761</v>
      </c>
      <c r="C128" s="4" t="n">
        <v>20.305</v>
      </c>
      <c r="D128" s="4" t="n">
        <v>31.134</v>
      </c>
      <c r="E128" s="4" t="n"/>
      <c r="F128" s="4" t="n"/>
      <c r="G128" s="4" t="inlineStr">
        <is>
          <t>GPU-Hopper</t>
        </is>
      </c>
      <c r="H128" s="4" t="e">
        <v>#DIV/0!</v>
      </c>
      <c r="I128" s="4" t="e">
        <v>#DIV/0!</v>
      </c>
      <c r="J128" s="4" t="e">
        <v>#DIV/0!</v>
      </c>
    </row>
    <row r="129">
      <c r="A129" s="4" t="inlineStr">
        <is>
          <t>Mass Cuda</t>
        </is>
      </c>
      <c r="B129" s="4" t="n">
        <v>31</v>
      </c>
      <c r="C129" s="4" t="n">
        <v>54</v>
      </c>
      <c r="D129" s="4" t="n">
        <v>146</v>
      </c>
      <c r="E129" s="4" t="n"/>
      <c r="F129" s="4" t="n"/>
      <c r="G129" s="4" t="inlineStr">
        <is>
          <t>MASS-Hopper</t>
        </is>
      </c>
      <c r="H129" s="4" t="e">
        <v>#DIV/0!</v>
      </c>
      <c r="I129" s="4" t="e">
        <v>#DIV/0!</v>
      </c>
      <c r="J129" s="4" t="e">
        <v>#DIV/0!</v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>
      <c r="A131" s="4" t="n"/>
      <c r="B131" s="4" t="n"/>
      <c r="C131" s="4" t="n"/>
      <c r="D131" s="4" t="n"/>
      <c r="E131" s="4" t="n"/>
      <c r="F131" s="4" t="n"/>
      <c r="G131" s="4" t="inlineStr">
        <is>
          <t>MASS_CUDA/gpu-opt Hopper</t>
        </is>
      </c>
      <c r="H131" s="4" t="e">
        <v>#DIV/0!</v>
      </c>
      <c r="I131" s="4" t="e">
        <v>#DIV/0!</v>
      </c>
      <c r="J131" s="4" t="e">
        <v>#DIV/0!</v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>
      <c r="A134" s="4" t="inlineStr">
        <is>
          <t>TIMING (seconds)</t>
        </is>
      </c>
      <c r="B134" s="4" t="n"/>
      <c r="C134" s="4" t="n"/>
      <c r="D134" s="4" t="n"/>
      <c r="E134" s="4" t="n"/>
      <c r="F134" s="4" t="n"/>
      <c r="G134" s="4" t="inlineStr">
        <is>
          <t>Speedup</t>
        </is>
      </c>
      <c r="H134" s="4" t="n"/>
      <c r="I134" s="4" t="n"/>
      <c r="J134" s="4" t="n"/>
    </row>
    <row r="135">
      <c r="A135" s="4" t="inlineStr">
        <is>
          <t>30 years</t>
        </is>
      </c>
      <c r="B135" s="4" t="n"/>
      <c r="C135" s="4" t="n"/>
      <c r="D135" s="4" t="n"/>
      <c r="E135" s="4" t="n"/>
      <c r="F135" s="4" t="n"/>
      <c r="G135" s="4" t="inlineStr">
        <is>
          <t>30 years</t>
        </is>
      </c>
      <c r="H135" s="4" t="n"/>
      <c r="I135" s="4" t="n"/>
      <c r="J135" s="4" t="n"/>
    </row>
    <row r="136">
      <c r="A136" s="4" t="n"/>
      <c r="B136" s="5" t="n">
        <v>0.01</v>
      </c>
      <c r="C136" s="5" t="n">
        <v>0.03</v>
      </c>
      <c r="D136" s="5" t="n">
        <v>0.06</v>
      </c>
      <c r="E136" s="5" t="n"/>
      <c r="F136" s="5" t="n"/>
      <c r="G136" s="4" t="n"/>
      <c r="H136" s="5" t="n">
        <v>0.01</v>
      </c>
      <c r="I136" s="5" t="n">
        <v>0.03</v>
      </c>
      <c r="J136" s="5" t="n">
        <v>0.06</v>
      </c>
    </row>
    <row r="137">
      <c r="A137" s="4" t="inlineStr">
        <is>
          <t>CPU-16T (Intel Xeon Platinum 8480+)</t>
        </is>
      </c>
      <c r="B137" s="4" t="n">
        <v>23.716</v>
      </c>
      <c r="C137" s="4" t="n"/>
      <c r="D137" s="4" t="n"/>
      <c r="E137" s="4" t="n"/>
      <c r="F137" s="4" t="n"/>
      <c r="G137" s="4" t="inlineStr">
        <is>
          <t>CPU-16T</t>
        </is>
      </c>
      <c r="H137" s="4" t="e">
        <v>#DIV/0!</v>
      </c>
      <c r="I137" s="4" t="e">
        <v>#DIV/0!</v>
      </c>
      <c r="J137" s="4" t="e">
        <v>#DIV/0!</v>
      </c>
    </row>
    <row r="138">
      <c r="A138" s="4" t="inlineStr">
        <is>
          <t>ParAGraph</t>
        </is>
      </c>
      <c r="B138" s="4" t="n">
        <v>38.187</v>
      </c>
      <c r="C138" s="4" t="n">
        <v>84.711</v>
      </c>
      <c r="D138" s="4" t="n">
        <v>209.687</v>
      </c>
      <c r="E138" s="4" t="n"/>
      <c r="F138" s="4" t="n"/>
      <c r="G138" s="4" t="inlineStr">
        <is>
          <t>GPU-Hopper</t>
        </is>
      </c>
      <c r="H138" s="4" t="e">
        <v>#DIV/0!</v>
      </c>
      <c r="I138" s="4" t="e">
        <v>#DIV/0!</v>
      </c>
      <c r="J138" s="4" t="e">
        <v>#DIV/0!</v>
      </c>
    </row>
    <row r="139">
      <c r="A139" s="4" t="inlineStr">
        <is>
          <t>Mass Cuda</t>
        </is>
      </c>
      <c r="B139" s="4" t="n">
        <v>124</v>
      </c>
      <c r="C139" s="4" t="n">
        <v>398</v>
      </c>
      <c r="D139" s="4" t="n">
        <v>1816</v>
      </c>
      <c r="E139" s="4" t="n"/>
      <c r="F139" s="4" t="n"/>
      <c r="G139" s="4" t="inlineStr">
        <is>
          <t>MASS-Hopper</t>
        </is>
      </c>
      <c r="H139" s="4" t="e">
        <v>#DIV/0!</v>
      </c>
      <c r="I139" s="4" t="e">
        <v>#DIV/0!</v>
      </c>
      <c r="J139" s="4" t="e">
        <v>#DIV/0!</v>
      </c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>
      <c r="A141" s="4" t="n"/>
      <c r="B141" s="4" t="n"/>
      <c r="C141" s="4" t="n"/>
      <c r="D141" s="4" t="n"/>
      <c r="E141" s="4" t="n"/>
      <c r="F141" s="4" t="n"/>
      <c r="G141" s="4" t="inlineStr">
        <is>
          <t>MASS_CUDA/gpu-opt Hopper</t>
        </is>
      </c>
      <c r="H141" s="4" t="e">
        <v>#DIV/0!</v>
      </c>
      <c r="I141" s="4" t="e">
        <v>#DIV/0!</v>
      </c>
      <c r="J141" s="4" t="e">
        <v>#DIV/0!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B5" sqref="B5:B6"/>
    </sheetView>
  </sheetViews>
  <sheetFormatPr baseColWidth="10" defaultRowHeight="16"/>
  <cols>
    <col width="18" customWidth="1" min="2" max="2"/>
  </cols>
  <sheetData>
    <row r="1">
      <c r="A1" t="inlineStr">
        <is>
          <t>Speedup</t>
        </is>
      </c>
    </row>
    <row r="4">
      <c r="C4" t="inlineStr">
        <is>
          <t>3 years-3%</t>
        </is>
      </c>
      <c r="D4" t="inlineStr">
        <is>
          <t>3 years-6%</t>
        </is>
      </c>
      <c r="E4" t="inlineStr">
        <is>
          <t>10 years-3%</t>
        </is>
      </c>
      <c r="F4" t="inlineStr">
        <is>
          <t>10 years-6%</t>
        </is>
      </c>
      <c r="G4" t="inlineStr">
        <is>
          <t>30 years-3%</t>
        </is>
      </c>
      <c r="H4" t="inlineStr">
        <is>
          <t>30 years-6%</t>
        </is>
      </c>
    </row>
    <row r="5">
      <c r="A5" t="inlineStr">
        <is>
          <t>SJ</t>
        </is>
      </c>
      <c r="B5" s="4" t="inlineStr">
        <is>
          <t>ParAGraph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B6" s="4" t="inlineStr">
        <is>
          <t>Mass Cuda</t>
        </is>
      </c>
    </row>
    <row r="7">
      <c r="A7" t="inlineStr">
        <is>
          <t>amz</t>
        </is>
      </c>
      <c r="B7" s="4" t="inlineStr">
        <is>
          <t>ParAGraph</t>
        </is>
      </c>
    </row>
    <row r="8">
      <c r="B8" s="4" t="inlineStr">
        <is>
          <t>Mass Cuda</t>
        </is>
      </c>
    </row>
    <row r="9">
      <c r="A9" t="inlineStr">
        <is>
          <t>eu</t>
        </is>
      </c>
      <c r="B9" s="4" t="inlineStr">
        <is>
          <t>ParAGraph</t>
        </is>
      </c>
    </row>
    <row r="10">
      <c r="B10" s="4" t="inlineStr">
        <is>
          <t>Mass Cuda</t>
        </is>
      </c>
    </row>
    <row r="11">
      <c r="A11" t="inlineStr">
        <is>
          <t>yutb</t>
        </is>
      </c>
      <c r="B11" s="4" t="inlineStr">
        <is>
          <t>ParAGraph</t>
        </is>
      </c>
    </row>
    <row r="12">
      <c r="B12" s="4" t="inlineStr">
        <is>
          <t>Mass Cuda</t>
        </is>
      </c>
    </row>
    <row r="13">
      <c r="A13" t="inlineStr">
        <is>
          <t>twt</t>
        </is>
      </c>
      <c r="B13" s="4" t="inlineStr">
        <is>
          <t>ParAGraph</t>
        </is>
      </c>
    </row>
    <row r="14">
      <c r="B14" s="4" t="inlineStr">
        <is>
          <t>Mass Cuda</t>
        </is>
      </c>
    </row>
    <row r="16">
      <c r="A16" t="inlineStr">
        <is>
          <t>Efficiency</t>
        </is>
      </c>
    </row>
    <row r="17">
      <c r="C17" t="inlineStr">
        <is>
          <t>3 years-3%</t>
        </is>
      </c>
      <c r="D17" t="inlineStr">
        <is>
          <t>3 years-6%</t>
        </is>
      </c>
      <c r="E17" t="inlineStr">
        <is>
          <t>10 years-3%</t>
        </is>
      </c>
      <c r="F17" t="inlineStr">
        <is>
          <t>10 years-6%</t>
        </is>
      </c>
      <c r="G17" t="inlineStr">
        <is>
          <t>30 years-3%</t>
        </is>
      </c>
      <c r="H17" t="inlineStr">
        <is>
          <t>30 years-6%</t>
        </is>
      </c>
      <c r="J17" t="inlineStr">
        <is>
          <t>Thread/SM</t>
        </is>
      </c>
    </row>
    <row r="18">
      <c r="A18" t="inlineStr">
        <is>
          <t>SJ</t>
        </is>
      </c>
      <c r="B18" s="4" t="inlineStr">
        <is>
          <t>ParAGraph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>
        <f>H$5/$J18</f>
        <v/>
      </c>
      <c r="J18" t="n">
        <v>114</v>
      </c>
    </row>
    <row r="19">
      <c r="B19" s="4" t="inlineStr">
        <is>
          <t>Mass Cuda</t>
        </is>
      </c>
      <c r="C19">
        <f>C$6/$J19</f>
        <v/>
      </c>
      <c r="D19">
        <f>D$6/$J19</f>
        <v/>
      </c>
      <c r="E19">
        <f>E$6/$J19</f>
        <v/>
      </c>
      <c r="F19">
        <f>F$6/$J19</f>
        <v/>
      </c>
      <c r="G19">
        <f>G$6/$J19</f>
        <v/>
      </c>
      <c r="H19">
        <f>H$6/$J19</f>
        <v/>
      </c>
      <c r="J19" t="n">
        <v>114</v>
      </c>
    </row>
    <row r="20">
      <c r="A20" t="inlineStr">
        <is>
          <t>amz</t>
        </is>
      </c>
      <c r="B20" s="4" t="inlineStr">
        <is>
          <t>ParAGraph</t>
        </is>
      </c>
      <c r="C20">
        <f>C$7/$J20</f>
        <v/>
      </c>
      <c r="D20">
        <f>D$7/$J20</f>
        <v/>
      </c>
      <c r="E20">
        <f>E$7/$J20</f>
        <v/>
      </c>
      <c r="F20">
        <f>F$7/$J20</f>
        <v/>
      </c>
      <c r="G20">
        <f>G$7/$J20</f>
        <v/>
      </c>
      <c r="H20">
        <f>H$7/$J20</f>
        <v/>
      </c>
      <c r="J20" t="n">
        <v>114</v>
      </c>
    </row>
    <row r="21">
      <c r="B21" s="4" t="inlineStr">
        <is>
          <t>Mass Cuda</t>
        </is>
      </c>
      <c r="C21">
        <f>C$8/$J21</f>
        <v/>
      </c>
      <c r="D21">
        <f>D$8/$J21</f>
        <v/>
      </c>
      <c r="E21">
        <f>E$8/$J21</f>
        <v/>
      </c>
      <c r="F21">
        <f>F$8/$J21</f>
        <v/>
      </c>
      <c r="G21">
        <f>G$8/$J21</f>
        <v/>
      </c>
      <c r="H21">
        <f>H$8/$J21</f>
        <v/>
      </c>
      <c r="J21" t="n">
        <v>114</v>
      </c>
    </row>
    <row r="22">
      <c r="A22" t="inlineStr">
        <is>
          <t>eu</t>
        </is>
      </c>
      <c r="B22" s="4" t="inlineStr">
        <is>
          <t>ParAGraph</t>
        </is>
      </c>
      <c r="C22">
        <f>C$9/$J22</f>
        <v/>
      </c>
      <c r="D22">
        <f>D$9/$J22</f>
        <v/>
      </c>
      <c r="E22">
        <f>E$9/$J22</f>
        <v/>
      </c>
      <c r="F22">
        <f>F$9/$J22</f>
        <v/>
      </c>
      <c r="G22">
        <f>G$9/$J22</f>
        <v/>
      </c>
      <c r="H22">
        <f>H$9/$J22</f>
        <v/>
      </c>
      <c r="J22" t="n">
        <v>114</v>
      </c>
    </row>
    <row r="23">
      <c r="B23" s="4" t="inlineStr">
        <is>
          <t>Mass Cuda</t>
        </is>
      </c>
      <c r="C23">
        <f>C$10/$J23</f>
        <v/>
      </c>
      <c r="D23">
        <f>D$10/$J23</f>
        <v/>
      </c>
      <c r="E23">
        <f>E$10/$J23</f>
        <v/>
      </c>
      <c r="F23">
        <f>F$10/$J23</f>
        <v/>
      </c>
      <c r="G23">
        <f>G$10/$J23</f>
        <v/>
      </c>
      <c r="H23">
        <f>H$10/$J23</f>
        <v/>
      </c>
      <c r="J23" t="n">
        <v>114</v>
      </c>
    </row>
    <row r="24">
      <c r="A24" t="inlineStr">
        <is>
          <t>yutb</t>
        </is>
      </c>
      <c r="B24" s="4" t="inlineStr">
        <is>
          <t>ParAGraph</t>
        </is>
      </c>
      <c r="C24">
        <f>C$10/$J24</f>
        <v/>
      </c>
      <c r="D24">
        <f>D$10/$J24</f>
        <v/>
      </c>
      <c r="E24">
        <f>E$10/$J24</f>
        <v/>
      </c>
      <c r="F24">
        <f>F$10/$J24</f>
        <v/>
      </c>
      <c r="G24">
        <f>G$10/$J24</f>
        <v/>
      </c>
      <c r="H24">
        <f>H$10/$J24</f>
        <v/>
      </c>
      <c r="J24" t="n">
        <v>114</v>
      </c>
    </row>
    <row r="25">
      <c r="B25" s="4" t="inlineStr">
        <is>
          <t>Mass Cuda</t>
        </is>
      </c>
      <c r="C25">
        <f>C$10/$J25</f>
        <v/>
      </c>
      <c r="D25">
        <f>D$10/$J25</f>
        <v/>
      </c>
      <c r="E25">
        <f>E$10/$J25</f>
        <v/>
      </c>
      <c r="F25">
        <f>F$10/$J25</f>
        <v/>
      </c>
      <c r="G25">
        <f>G$10/$J25</f>
        <v/>
      </c>
      <c r="H25">
        <f>H$10/$J25</f>
        <v/>
      </c>
      <c r="J25" t="n">
        <v>114</v>
      </c>
    </row>
    <row r="26">
      <c r="A26" t="inlineStr">
        <is>
          <t>twt</t>
        </is>
      </c>
      <c r="B26" s="4" t="inlineStr">
        <is>
          <t>ParAGraph</t>
        </is>
      </c>
      <c r="C26">
        <f>C$10/$J26</f>
        <v/>
      </c>
      <c r="D26">
        <f>D$10/$J26</f>
        <v/>
      </c>
      <c r="E26">
        <f>E$10/$J26</f>
        <v/>
      </c>
      <c r="F26">
        <f>F$10/$J26</f>
        <v/>
      </c>
      <c r="G26">
        <f>G$10/$J26</f>
        <v/>
      </c>
      <c r="H26">
        <f>H$10/$J26</f>
        <v/>
      </c>
      <c r="J26" t="n">
        <v>114</v>
      </c>
    </row>
    <row r="27">
      <c r="B27" s="4" t="inlineStr">
        <is>
          <t>Mass Cuda</t>
        </is>
      </c>
      <c r="C27">
        <f>C$10/$J27</f>
        <v/>
      </c>
      <c r="D27">
        <f>D$10/$J27</f>
        <v/>
      </c>
      <c r="E27">
        <f>E$10/$J27</f>
        <v/>
      </c>
      <c r="F27">
        <f>F$10/$J27</f>
        <v/>
      </c>
      <c r="G27">
        <f>G$10/$J27</f>
        <v/>
      </c>
      <c r="H27">
        <f>H$10/$J27</f>
        <v/>
      </c>
      <c r="J27" t="n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:XFD1048576"/>
    </sheetView>
  </sheetViews>
  <sheetFormatPr baseColWidth="10" defaultRowHeight="16"/>
  <cols>
    <col width="26.6640625" customWidth="1" min="1" max="1"/>
    <col width="21.33203125" customWidth="1" min="9" max="9"/>
    <col width="25.1640625" customWidth="1" min="14" max="14"/>
  </cols>
  <sheetData>
    <row r="1">
      <c r="A1" t="inlineStr">
        <is>
          <t>ER-p</t>
        </is>
      </c>
    </row>
    <row r="2">
      <c r="A2" t="inlineStr">
        <is>
          <t>SJ</t>
        </is>
      </c>
    </row>
    <row r="3">
      <c r="B3" t="inlineStr">
        <is>
          <t>p=0.01%</t>
        </is>
      </c>
      <c r="I3" t="inlineStr">
        <is>
          <t>ER-p</t>
        </is>
      </c>
      <c r="J3" t="inlineStr">
        <is>
          <t>p=0.01%</t>
        </is>
      </c>
    </row>
    <row r="4">
      <c r="A4" t="inlineStr">
        <is>
          <t xml:space="preserve">3 years </t>
        </is>
      </c>
      <c r="I4" t="inlineStr">
        <is>
          <t xml:space="preserve">3 years </t>
        </is>
      </c>
    </row>
    <row r="5">
      <c r="A5" t="inlineStr">
        <is>
          <t>TIMING (seconds)</t>
        </is>
      </c>
      <c r="I5" t="inlineStr">
        <is>
          <t>Speedup</t>
        </is>
      </c>
    </row>
    <row r="6">
      <c r="B6" s="2" t="n">
        <v>0.01</v>
      </c>
      <c r="C6" s="2" t="n">
        <v>0.03</v>
      </c>
      <c r="D6" s="2" t="n">
        <v>0.06</v>
      </c>
      <c r="F6" s="2" t="n"/>
      <c r="G6" s="2" t="n"/>
      <c r="J6" s="2" t="n">
        <v>0.01</v>
      </c>
      <c r="K6" s="2" t="n">
        <v>0.03</v>
      </c>
      <c r="L6" s="2" t="n">
        <v>0.06</v>
      </c>
      <c r="M6" s="2" t="n"/>
      <c r="N6" s="2" t="n"/>
      <c r="O6" s="2" t="n">
        <v>0.01</v>
      </c>
      <c r="P6" s="2" t="n">
        <v>0.03</v>
      </c>
      <c r="Q6" s="2" t="n">
        <v>0.06</v>
      </c>
    </row>
    <row r="7">
      <c r="A7" t="inlineStr">
        <is>
          <t>CPU-16T (Intel Xeon Platinum 8480+)</t>
        </is>
      </c>
      <c r="B7" t="n">
        <v>13.498</v>
      </c>
      <c r="C7" t="n">
        <v>28.359</v>
      </c>
      <c r="D7" t="n">
        <v>53.098</v>
      </c>
      <c r="I7" t="inlineStr">
        <is>
          <t>CPU-Serial</t>
        </is>
      </c>
      <c r="J7">
        <f>B$7/B7</f>
        <v/>
      </c>
      <c r="K7">
        <f>C$7/C7</f>
        <v/>
      </c>
      <c r="L7">
        <f>D$7/D7</f>
        <v/>
      </c>
    </row>
    <row r="8">
      <c r="A8" t="inlineStr">
        <is>
          <t>GPU-Hopper</t>
        </is>
      </c>
      <c r="B8" t="n">
        <v>5</v>
      </c>
      <c r="C8" t="n">
        <v>5</v>
      </c>
      <c r="D8" t="n">
        <v>6</v>
      </c>
      <c r="I8" t="inlineStr">
        <is>
          <t>GPU-Hopper</t>
        </is>
      </c>
      <c r="J8">
        <f>B$7/B8</f>
        <v/>
      </c>
      <c r="K8">
        <f>C$7/C8</f>
        <v/>
      </c>
      <c r="L8">
        <f>D$7/D8</f>
        <v/>
      </c>
      <c r="N8" t="inlineStr">
        <is>
          <t>GPU-Hopper/MASS-Hopper</t>
        </is>
      </c>
      <c r="O8">
        <f>J8/J9</f>
        <v/>
      </c>
      <c r="P8">
        <f>K8/K9</f>
        <v/>
      </c>
      <c r="Q8">
        <f>L8/L9</f>
        <v/>
      </c>
    </row>
    <row r="9">
      <c r="A9" t="inlineStr">
        <is>
          <t>MASS-Hopper</t>
        </is>
      </c>
      <c r="B9" t="n">
        <v>4</v>
      </c>
      <c r="I9" t="inlineStr">
        <is>
          <t>MASS-Hopper</t>
        </is>
      </c>
      <c r="J9">
        <f>B$7/B9</f>
        <v/>
      </c>
      <c r="K9">
        <f>C$7/C9</f>
        <v/>
      </c>
      <c r="L9">
        <f>D$7/D9</f>
        <v/>
      </c>
    </row>
    <row r="10"/>
    <row r="11">
      <c r="A11" t="inlineStr">
        <is>
          <t>ER-p</t>
        </is>
      </c>
      <c r="B11" t="inlineStr">
        <is>
          <t>p=0.03%</t>
        </is>
      </c>
      <c r="I11" t="inlineStr">
        <is>
          <t>ER-p</t>
        </is>
      </c>
      <c r="J11" t="inlineStr">
        <is>
          <t>p=0.03%</t>
        </is>
      </c>
    </row>
    <row r="12">
      <c r="A12" t="inlineStr">
        <is>
          <t>3 years</t>
        </is>
      </c>
      <c r="I12" t="inlineStr">
        <is>
          <t>3 years</t>
        </is>
      </c>
    </row>
    <row r="13">
      <c r="A13" t="inlineStr">
        <is>
          <t>TIMING (seconds)</t>
        </is>
      </c>
      <c r="I13" t="inlineStr">
        <is>
          <t>Speedup</t>
        </is>
      </c>
    </row>
    <row r="14">
      <c r="B14" s="2" t="n">
        <v>0.01</v>
      </c>
      <c r="C14" s="2" t="n">
        <v>0.03</v>
      </c>
      <c r="D14" s="2" t="n">
        <v>0.06</v>
      </c>
      <c r="F14" s="2" t="n"/>
      <c r="G14" s="2" t="n"/>
      <c r="J14" s="2" t="n">
        <v>0.01</v>
      </c>
      <c r="K14" s="2" t="n">
        <v>0.03</v>
      </c>
      <c r="L14" s="2" t="n">
        <v>0.06</v>
      </c>
      <c r="N14" s="2" t="n"/>
      <c r="O14" s="2" t="n">
        <v>0.01</v>
      </c>
      <c r="P14" s="2" t="n">
        <v>0.03</v>
      </c>
      <c r="Q14" s="2" t="n">
        <v>0.06</v>
      </c>
    </row>
    <row r="15">
      <c r="A15" t="inlineStr">
        <is>
          <t>CPU-16T (Intel Xeon Platinum 8480+)</t>
        </is>
      </c>
      <c r="B15" t="n">
        <v>20.016</v>
      </c>
      <c r="C15" t="n">
        <v>50.861</v>
      </c>
      <c r="D15" t="n">
        <v>98.90300000000001</v>
      </c>
      <c r="I15" t="inlineStr">
        <is>
          <t>CPU-Serial</t>
        </is>
      </c>
      <c r="J15">
        <f>B$15/B15</f>
        <v/>
      </c>
      <c r="K15">
        <f>C$15/C15</f>
        <v/>
      </c>
      <c r="L15">
        <f>D$15/D15</f>
        <v/>
      </c>
    </row>
    <row r="16">
      <c r="A16" t="inlineStr">
        <is>
          <t>GPU-Hopper</t>
        </is>
      </c>
      <c r="B16" t="n">
        <v>5</v>
      </c>
      <c r="C16" t="n">
        <v>6</v>
      </c>
      <c r="D16" t="n">
        <v>6</v>
      </c>
      <c r="I16" t="inlineStr">
        <is>
          <t>GPU-Hopper</t>
        </is>
      </c>
      <c r="J16">
        <f>B$15/B16</f>
        <v/>
      </c>
      <c r="K16">
        <f>C$15/C16</f>
        <v/>
      </c>
      <c r="L16">
        <f>D$15/D16</f>
        <v/>
      </c>
      <c r="N16" t="inlineStr">
        <is>
          <t>GPU-Hopper/MASS-Hopper</t>
        </is>
      </c>
      <c r="O16">
        <f>J16/J17</f>
        <v/>
      </c>
      <c r="P16">
        <f>K16/K17</f>
        <v/>
      </c>
      <c r="Q16">
        <f>L16/L17</f>
        <v/>
      </c>
    </row>
    <row r="17">
      <c r="A17" t="inlineStr">
        <is>
          <t>MASS-Hopper</t>
        </is>
      </c>
      <c r="B17" t="n">
        <v>6</v>
      </c>
      <c r="I17" t="inlineStr">
        <is>
          <t>MASS-Hopper</t>
        </is>
      </c>
      <c r="J17">
        <f>B$15/B17</f>
        <v/>
      </c>
      <c r="K17">
        <f>C$15/C17</f>
        <v/>
      </c>
      <c r="L17">
        <f>D$15/D17</f>
        <v/>
      </c>
    </row>
    <row r="18"/>
    <row r="19">
      <c r="A19" t="inlineStr">
        <is>
          <t>ER-p</t>
        </is>
      </c>
      <c r="B19" t="inlineStr">
        <is>
          <t>p=0.05%</t>
        </is>
      </c>
      <c r="I19" t="inlineStr">
        <is>
          <t>ER-p</t>
        </is>
      </c>
      <c r="J19" t="inlineStr">
        <is>
          <t>p=0.05%</t>
        </is>
      </c>
    </row>
    <row r="20">
      <c r="A20" t="inlineStr">
        <is>
          <t xml:space="preserve">3 years </t>
        </is>
      </c>
      <c r="I20" t="inlineStr">
        <is>
          <t xml:space="preserve">3 years </t>
        </is>
      </c>
    </row>
    <row r="21">
      <c r="A21" t="inlineStr">
        <is>
          <t>TIMING (seconds)</t>
        </is>
      </c>
      <c r="I21" t="inlineStr">
        <is>
          <t>Speedup</t>
        </is>
      </c>
      <c r="M21" s="2" t="n"/>
      <c r="N21" s="2" t="n"/>
      <c r="O21" s="2" t="n"/>
      <c r="P21" s="2" t="n"/>
      <c r="Q21" s="2" t="n"/>
    </row>
    <row r="22">
      <c r="B22" s="2" t="n">
        <v>0.01</v>
      </c>
      <c r="C22" s="2" t="n">
        <v>0.03</v>
      </c>
      <c r="D22" s="2" t="n">
        <v>0.06</v>
      </c>
      <c r="F22" s="2" t="n"/>
      <c r="G22" s="2" t="n"/>
      <c r="J22" s="2" t="n">
        <v>0.01</v>
      </c>
      <c r="K22" s="2" t="n">
        <v>0.03</v>
      </c>
      <c r="L22" s="2" t="n">
        <v>0.06</v>
      </c>
      <c r="N22" s="2" t="n"/>
      <c r="O22" s="2" t="n">
        <v>0.01</v>
      </c>
      <c r="P22" s="2" t="n">
        <v>0.03</v>
      </c>
      <c r="Q22" s="2" t="n">
        <v>0.06</v>
      </c>
    </row>
    <row r="23">
      <c r="A23" t="inlineStr">
        <is>
          <t>CPU-16T (Intel Xeon Platinum 8480+)</t>
        </is>
      </c>
      <c r="B23" t="n">
        <v>25.82</v>
      </c>
      <c r="C23" t="n">
        <v>69.294</v>
      </c>
      <c r="D23" t="n">
        <v>144.093</v>
      </c>
      <c r="I23" t="inlineStr">
        <is>
          <t>CPU-Serial</t>
        </is>
      </c>
      <c r="J23">
        <f>B$23/B23</f>
        <v/>
      </c>
      <c r="K23">
        <f>C$23/C23</f>
        <v/>
      </c>
      <c r="L23">
        <f>D$23/D23</f>
        <v/>
      </c>
    </row>
    <row r="24">
      <c r="A24" t="inlineStr">
        <is>
          <t>GPU-Hopper</t>
        </is>
      </c>
      <c r="B24" t="n">
        <v>5</v>
      </c>
      <c r="C24" t="n">
        <v>7</v>
      </c>
      <c r="D24" t="n">
        <v>6</v>
      </c>
      <c r="I24" t="inlineStr">
        <is>
          <t>GPU-Hopper</t>
        </is>
      </c>
      <c r="J24">
        <f>B$23/B24</f>
        <v/>
      </c>
      <c r="K24">
        <f>C$23/C24</f>
        <v/>
      </c>
      <c r="L24">
        <f>D$23/D24</f>
        <v/>
      </c>
      <c r="N24" t="inlineStr">
        <is>
          <t>GPU-Hopper/MASS-Hopper</t>
        </is>
      </c>
      <c r="O24">
        <f>J24/J25</f>
        <v/>
      </c>
      <c r="P24">
        <f>K24/K25</f>
        <v/>
      </c>
      <c r="Q24">
        <f>L24/L25</f>
        <v/>
      </c>
    </row>
    <row r="25">
      <c r="A25" t="inlineStr">
        <is>
          <t>MASS-Hopper</t>
        </is>
      </c>
      <c r="B25" t="n">
        <v>9</v>
      </c>
      <c r="I25" t="inlineStr">
        <is>
          <t>MASS-Hopper</t>
        </is>
      </c>
      <c r="J25">
        <f>B$23/B25</f>
        <v/>
      </c>
      <c r="K25">
        <f>C$23/C25</f>
        <v/>
      </c>
      <c r="L25">
        <f>D$23/D25</f>
        <v/>
      </c>
    </row>
    <row r="26"/>
    <row r="27">
      <c r="A27" t="inlineStr">
        <is>
          <t>ER-p</t>
        </is>
      </c>
      <c r="B27" t="inlineStr">
        <is>
          <t>p=0.1%</t>
        </is>
      </c>
      <c r="I27" t="inlineStr">
        <is>
          <t>ER-p</t>
        </is>
      </c>
      <c r="J27" t="inlineStr">
        <is>
          <t>p=0.1%</t>
        </is>
      </c>
    </row>
    <row r="28">
      <c r="A28" t="inlineStr">
        <is>
          <t>3 years</t>
        </is>
      </c>
      <c r="I28" t="inlineStr">
        <is>
          <t>3 years</t>
        </is>
      </c>
    </row>
    <row r="29">
      <c r="A29" t="inlineStr">
        <is>
          <t>TIMING (seconds)</t>
        </is>
      </c>
      <c r="I29" t="inlineStr">
        <is>
          <t>Speedup</t>
        </is>
      </c>
    </row>
    <row r="30">
      <c r="B30" s="2" t="n">
        <v>0.01</v>
      </c>
      <c r="C30" s="2" t="n">
        <v>0.03</v>
      </c>
      <c r="D30" s="2" t="n">
        <v>0.06</v>
      </c>
      <c r="F30" s="2" t="n"/>
      <c r="G30" s="2" t="n"/>
      <c r="J30" s="2" t="n">
        <v>0.01</v>
      </c>
      <c r="K30" s="2" t="n">
        <v>0.03</v>
      </c>
      <c r="L30" s="2" t="n">
        <v>0.06</v>
      </c>
      <c r="M30" s="2" t="n"/>
      <c r="N30" s="2" t="n"/>
      <c r="O30" s="2" t="n">
        <v>0.01</v>
      </c>
      <c r="P30" s="2" t="n">
        <v>0.03</v>
      </c>
      <c r="Q30" s="2" t="n">
        <v>0.06</v>
      </c>
    </row>
    <row r="31">
      <c r="A31" t="inlineStr">
        <is>
          <t>CPU-16T (Intel Xeon Platinum 8480+)</t>
        </is>
      </c>
      <c r="B31" t="n">
        <v>43.651</v>
      </c>
      <c r="C31" t="n">
        <v>113.755</v>
      </c>
      <c r="D31" t="n">
        <v>249.726</v>
      </c>
      <c r="I31" t="inlineStr">
        <is>
          <t>CPU-Serial</t>
        </is>
      </c>
      <c r="J31">
        <f>B$31/B31</f>
        <v/>
      </c>
      <c r="K31">
        <f>C$31/C31</f>
        <v/>
      </c>
      <c r="L31">
        <f>D$31/D31</f>
        <v/>
      </c>
    </row>
    <row r="32">
      <c r="A32" t="inlineStr">
        <is>
          <t>GPU-Hopper</t>
        </is>
      </c>
      <c r="B32" t="n">
        <v>5</v>
      </c>
      <c r="C32" t="n">
        <v>6</v>
      </c>
      <c r="D32" t="n">
        <v>6</v>
      </c>
      <c r="I32" t="inlineStr">
        <is>
          <t>GPU-Hopper</t>
        </is>
      </c>
      <c r="J32">
        <f>B$31/B32</f>
        <v/>
      </c>
      <c r="K32">
        <f>C$31/C32</f>
        <v/>
      </c>
      <c r="L32">
        <f>D$31/D32</f>
        <v/>
      </c>
      <c r="N32" t="inlineStr">
        <is>
          <t>GPU-Hopper/MASS-Hopper</t>
        </is>
      </c>
      <c r="O32">
        <f>J32/J33</f>
        <v/>
      </c>
      <c r="P32">
        <f>K32/K33</f>
        <v/>
      </c>
      <c r="Q32">
        <f>L32/L33</f>
        <v/>
      </c>
    </row>
    <row r="33">
      <c r="A33" t="inlineStr">
        <is>
          <t>MASS-Hopper</t>
        </is>
      </c>
      <c r="B33" t="n">
        <v>16</v>
      </c>
      <c r="I33" t="inlineStr">
        <is>
          <t>MASS-Hopper</t>
        </is>
      </c>
      <c r="J33">
        <f>B$31/B33</f>
        <v/>
      </c>
      <c r="K33">
        <f>C$31/C33</f>
        <v/>
      </c>
      <c r="L33">
        <f>D$31/D33</f>
        <v/>
      </c>
    </row>
    <row r="34"/>
    <row r="35">
      <c r="A35" t="inlineStr">
        <is>
          <t>amz</t>
        </is>
      </c>
    </row>
    <row r="36">
      <c r="A36" s="4" t="n"/>
      <c r="B36" s="4" t="inlineStr">
        <is>
          <t>p=0.01%</t>
        </is>
      </c>
      <c r="C36" s="4" t="n"/>
      <c r="D36" s="4" t="n"/>
      <c r="E36" s="4" t="n"/>
      <c r="F36" s="4" t="n"/>
      <c r="G36" s="4" t="n"/>
      <c r="H36" s="4" t="n"/>
      <c r="I36" s="4" t="inlineStr">
        <is>
          <t>ER-p</t>
        </is>
      </c>
      <c r="J36" s="4" t="inlineStr">
        <is>
          <t>p=0.01%</t>
        </is>
      </c>
      <c r="K36" s="4" t="n"/>
      <c r="L36" s="4" t="n"/>
      <c r="M36" s="4" t="n"/>
      <c r="N36" s="4" t="n"/>
      <c r="O36" s="4" t="n"/>
      <c r="P36" s="4" t="n"/>
      <c r="Q36" s="4" t="n"/>
    </row>
    <row r="37">
      <c r="A37" s="4" t="inlineStr">
        <is>
          <t xml:space="preserve">3 years </t>
        </is>
      </c>
      <c r="B37" s="4" t="n"/>
      <c r="C37" s="4" t="n"/>
      <c r="D37" s="4" t="n"/>
      <c r="E37" s="4" t="n"/>
      <c r="F37" s="4" t="n"/>
      <c r="G37" s="4" t="n"/>
      <c r="H37" s="4" t="n"/>
      <c r="I37" s="4" t="inlineStr">
        <is>
          <t xml:space="preserve">3 years 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inlineStr">
        <is>
          <t>TIMING (seconds)</t>
        </is>
      </c>
      <c r="B38" s="4" t="n"/>
      <c r="C38" s="4" t="n"/>
      <c r="D38" s="4" t="n"/>
      <c r="E38" s="4" t="n"/>
      <c r="F38" s="4" t="n"/>
      <c r="G38" s="4" t="n"/>
      <c r="H38" s="4" t="n"/>
      <c r="I38" s="4" t="inlineStr">
        <is>
          <t>Speedup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5" t="n">
        <v>0.01</v>
      </c>
      <c r="C39" s="5" t="n">
        <v>0.03</v>
      </c>
      <c r="D39" s="5" t="n">
        <v>0.06</v>
      </c>
      <c r="E39" s="4" t="n"/>
      <c r="F39" s="5" t="n"/>
      <c r="G39" s="5" t="n"/>
      <c r="H39" s="4" t="n"/>
      <c r="I39" s="4" t="n"/>
      <c r="J39" s="5" t="n">
        <v>0.01</v>
      </c>
      <c r="K39" s="5" t="n">
        <v>0.03</v>
      </c>
      <c r="L39" s="5" t="n">
        <v>0.06</v>
      </c>
      <c r="M39" s="5" t="n"/>
      <c r="N39" s="5" t="n"/>
      <c r="O39" s="5" t="n">
        <v>0.01</v>
      </c>
      <c r="P39" s="5" t="n">
        <v>0.03</v>
      </c>
      <c r="Q39" s="5" t="n">
        <v>0.06</v>
      </c>
    </row>
    <row r="40">
      <c r="A40" s="4" t="inlineStr">
        <is>
          <t>CPU-16T (Intel Xeon Platinum 8480+)</t>
        </is>
      </c>
      <c r="B40" s="4" t="n">
        <v>8.458</v>
      </c>
      <c r="C40" s="4" t="n">
        <v>15.506</v>
      </c>
      <c r="D40" s="4" t="n">
        <v>29.066</v>
      </c>
      <c r="E40" s="4" t="n"/>
      <c r="F40" s="4" t="n"/>
      <c r="G40" s="4" t="n"/>
      <c r="H40" s="4" t="n"/>
      <c r="I40" s="4" t="inlineStr">
        <is>
          <t>CPU-Serial</t>
        </is>
      </c>
      <c r="J40" s="4" t="e">
        <v>#DIV/0!</v>
      </c>
      <c r="K40" s="4" t="e">
        <v>#DIV/0!</v>
      </c>
      <c r="L40" s="4" t="e">
        <v>#DIV/0!</v>
      </c>
      <c r="M40" s="4" t="n"/>
      <c r="N40" s="4" t="n"/>
      <c r="O40" s="4" t="n"/>
      <c r="P40" s="4" t="n"/>
      <c r="Q40" s="4" t="n"/>
    </row>
    <row r="41">
      <c r="A41" s="4" t="inlineStr">
        <is>
          <t>GPU-Hopper</t>
        </is>
      </c>
      <c r="B41" s="4" t="n">
        <v>6</v>
      </c>
      <c r="C41" s="4" t="n">
        <v>7</v>
      </c>
      <c r="D41" s="4" t="n">
        <v>10</v>
      </c>
      <c r="E41" s="4" t="n"/>
      <c r="F41" s="4" t="n"/>
      <c r="G41" s="4" t="n"/>
      <c r="H41" s="4" t="n"/>
      <c r="I41" s="4" t="inlineStr">
        <is>
          <t>GPU-Hopper</t>
        </is>
      </c>
      <c r="J41" s="4" t="e">
        <v>#DIV/0!</v>
      </c>
      <c r="K41" s="4" t="e">
        <v>#DIV/0!</v>
      </c>
      <c r="L41" s="4" t="e">
        <v>#DIV/0!</v>
      </c>
      <c r="M41" s="4" t="n"/>
      <c r="N41" s="4" t="inlineStr">
        <is>
          <t>GPU-Hopper/MASS-Hopper</t>
        </is>
      </c>
      <c r="O41" s="4" t="e">
        <v>#DIV/0!</v>
      </c>
      <c r="P41" s="4" t="e">
        <v>#DIV/0!</v>
      </c>
      <c r="Q41" s="4" t="e">
        <v>#DIV/0!</v>
      </c>
    </row>
    <row r="42">
      <c r="A42" s="4" t="inlineStr">
        <is>
          <t>MASS-Hopper</t>
        </is>
      </c>
      <c r="B42" s="4" t="n">
        <v>3</v>
      </c>
      <c r="C42" s="4" t="n"/>
      <c r="D42" s="4" t="n"/>
      <c r="E42" s="4" t="n"/>
      <c r="F42" s="4" t="n"/>
      <c r="G42" s="4" t="n"/>
      <c r="H42" s="4" t="n"/>
      <c r="I42" s="4" t="inlineStr">
        <is>
          <t>MASS-Hopper</t>
        </is>
      </c>
      <c r="J42" s="4" t="e">
        <v>#DIV/0!</v>
      </c>
      <c r="K42" s="4" t="e">
        <v>#DIV/0!</v>
      </c>
      <c r="L42" s="4" t="e">
        <v>#DIV/0!</v>
      </c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inlineStr">
        <is>
          <t>ER-p</t>
        </is>
      </c>
      <c r="B44" s="4" t="inlineStr">
        <is>
          <t>p=0.03%</t>
        </is>
      </c>
      <c r="C44" s="4" t="n"/>
      <c r="D44" s="4" t="n"/>
      <c r="E44" s="4" t="n"/>
      <c r="F44" s="4" t="n"/>
      <c r="G44" s="4" t="n"/>
      <c r="H44" s="4" t="n"/>
      <c r="I44" s="4" t="inlineStr">
        <is>
          <t>ER-p</t>
        </is>
      </c>
      <c r="J44" s="4" t="inlineStr">
        <is>
          <t>p=0.03%</t>
        </is>
      </c>
      <c r="K44" s="4" t="n"/>
      <c r="L44" s="4" t="n"/>
      <c r="M44" s="4" t="n"/>
      <c r="N44" s="4" t="n"/>
      <c r="O44" s="4" t="n"/>
      <c r="P44" s="4" t="n"/>
      <c r="Q44" s="4" t="n"/>
    </row>
    <row r="45">
      <c r="A45" s="4" t="inlineStr">
        <is>
          <t>3 years</t>
        </is>
      </c>
      <c r="B45" s="4" t="n"/>
      <c r="C45" s="4" t="n"/>
      <c r="D45" s="4" t="n"/>
      <c r="E45" s="4" t="n"/>
      <c r="F45" s="4" t="n"/>
      <c r="G45" s="4" t="n"/>
      <c r="H45" s="4" t="n"/>
      <c r="I45" s="4" t="inlineStr">
        <is>
          <t>3 years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inlineStr">
        <is>
          <t>TIMING (seconds)</t>
        </is>
      </c>
      <c r="B46" s="4" t="n"/>
      <c r="C46" s="4" t="n"/>
      <c r="D46" s="4" t="n"/>
      <c r="E46" s="4" t="n"/>
      <c r="F46" s="4" t="n"/>
      <c r="G46" s="4" t="n"/>
      <c r="H46" s="4" t="n"/>
      <c r="I46" s="4" t="inlineStr">
        <is>
          <t>Speedup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n"/>
      <c r="B47" s="5" t="n">
        <v>0.01</v>
      </c>
      <c r="C47" s="5" t="n">
        <v>0.03</v>
      </c>
      <c r="D47" s="5" t="n">
        <v>0.06</v>
      </c>
      <c r="E47" s="4" t="n"/>
      <c r="F47" s="5" t="n"/>
      <c r="G47" s="5" t="n"/>
      <c r="H47" s="4" t="n"/>
      <c r="I47" s="4" t="n"/>
      <c r="J47" s="5" t="n">
        <v>0.01</v>
      </c>
      <c r="K47" s="5" t="n">
        <v>0.03</v>
      </c>
      <c r="L47" s="5" t="n">
        <v>0.06</v>
      </c>
      <c r="M47" s="4" t="n"/>
      <c r="N47" s="5" t="n"/>
      <c r="O47" s="5" t="n">
        <v>0.01</v>
      </c>
      <c r="P47" s="5" t="n">
        <v>0.03</v>
      </c>
      <c r="Q47" s="5" t="n">
        <v>0.06</v>
      </c>
    </row>
    <row r="48">
      <c r="A48" s="4" t="inlineStr">
        <is>
          <t>CPU-16T (Intel Xeon Platinum 8480+)</t>
        </is>
      </c>
      <c r="B48" s="4" t="n">
        <v>12.46</v>
      </c>
      <c r="C48" s="4" t="n">
        <v>28.223</v>
      </c>
      <c r="D48" s="4" t="n">
        <v>56.542</v>
      </c>
      <c r="E48" s="4" t="n"/>
      <c r="F48" s="4" t="n"/>
      <c r="G48" s="4" t="n"/>
      <c r="H48" s="4" t="n"/>
      <c r="I48" s="4" t="inlineStr">
        <is>
          <t>CPU-Serial</t>
        </is>
      </c>
      <c r="J48" s="4" t="e">
        <v>#DIV/0!</v>
      </c>
      <c r="K48" s="4" t="e">
        <v>#DIV/0!</v>
      </c>
      <c r="L48" s="4" t="e">
        <v>#DIV/0!</v>
      </c>
      <c r="M48" s="4" t="n"/>
      <c r="N48" s="4" t="n"/>
      <c r="O48" s="4" t="n"/>
      <c r="P48" s="4" t="n"/>
      <c r="Q48" s="4" t="n"/>
    </row>
    <row r="49">
      <c r="A49" s="4" t="inlineStr">
        <is>
          <t>GPU-Hopper</t>
        </is>
      </c>
      <c r="B49" s="4" t="n">
        <v>6</v>
      </c>
      <c r="C49" s="4" t="n">
        <v>8</v>
      </c>
      <c r="D49" s="4" t="n">
        <v>11</v>
      </c>
      <c r="E49" s="4" t="n"/>
      <c r="F49" s="4" t="n"/>
      <c r="G49" s="4" t="n"/>
      <c r="H49" s="4" t="n"/>
      <c r="I49" s="4" t="inlineStr">
        <is>
          <t>GPU-Hopper</t>
        </is>
      </c>
      <c r="J49" s="4" t="e">
        <v>#DIV/0!</v>
      </c>
      <c r="K49" s="4" t="e">
        <v>#DIV/0!</v>
      </c>
      <c r="L49" s="4" t="e">
        <v>#DIV/0!</v>
      </c>
      <c r="M49" s="4" t="n"/>
      <c r="N49" s="4" t="inlineStr">
        <is>
          <t>GPU-Hopper/MASS-Hopper</t>
        </is>
      </c>
      <c r="O49" s="4" t="e">
        <v>#DIV/0!</v>
      </c>
      <c r="P49" s="4" t="e">
        <v>#DIV/0!</v>
      </c>
      <c r="Q49" s="4" t="e">
        <v>#DIV/0!</v>
      </c>
    </row>
    <row r="50">
      <c r="A50" s="4" t="inlineStr">
        <is>
          <t>MASS-Hopper</t>
        </is>
      </c>
      <c r="B50" s="4" t="n">
        <v>4</v>
      </c>
      <c r="C50" s="4" t="n"/>
      <c r="D50" s="4" t="n"/>
      <c r="E50" s="4" t="n"/>
      <c r="F50" s="4" t="n"/>
      <c r="G50" s="4" t="n"/>
      <c r="H50" s="4" t="n"/>
      <c r="I50" s="4" t="inlineStr">
        <is>
          <t>MASS-Hopper</t>
        </is>
      </c>
      <c r="J50" s="4" t="e">
        <v>#DIV/0!</v>
      </c>
      <c r="K50" s="4" t="e">
        <v>#DIV/0!</v>
      </c>
      <c r="L50" s="4" t="e">
        <v>#DIV/0!</v>
      </c>
      <c r="M50" s="4" t="n"/>
      <c r="N50" s="4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4" t="inlineStr">
        <is>
          <t>ER-p</t>
        </is>
      </c>
      <c r="B52" s="4" t="inlineStr">
        <is>
          <t>p=0.05%</t>
        </is>
      </c>
      <c r="C52" s="4" t="n"/>
      <c r="D52" s="4" t="n"/>
      <c r="E52" s="4" t="n"/>
      <c r="F52" s="4" t="n"/>
      <c r="G52" s="4" t="n"/>
      <c r="H52" s="4" t="n"/>
      <c r="I52" s="4" t="inlineStr">
        <is>
          <t>ER-p</t>
        </is>
      </c>
      <c r="J52" s="4" t="inlineStr">
        <is>
          <t>p=0.05%</t>
        </is>
      </c>
      <c r="K52" s="4" t="n"/>
      <c r="L52" s="4" t="n"/>
      <c r="M52" s="4" t="n"/>
      <c r="N52" s="4" t="n"/>
      <c r="O52" s="4" t="n"/>
      <c r="P52" s="4" t="n"/>
      <c r="Q52" s="4" t="n"/>
    </row>
    <row r="53">
      <c r="A53" s="4" t="inlineStr">
        <is>
          <t xml:space="preserve">3 years </t>
        </is>
      </c>
      <c r="B53" s="4" t="n"/>
      <c r="C53" s="4" t="n"/>
      <c r="D53" s="4" t="n"/>
      <c r="E53" s="4" t="n"/>
      <c r="F53" s="4" t="n"/>
      <c r="G53" s="4" t="n"/>
      <c r="H53" s="4" t="n"/>
      <c r="I53" s="4" t="inlineStr">
        <is>
          <t xml:space="preserve">3 years 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4" t="inlineStr">
        <is>
          <t>TIMING (seconds)</t>
        </is>
      </c>
      <c r="B54" s="4" t="n"/>
      <c r="C54" s="4" t="n"/>
      <c r="D54" s="4" t="n"/>
      <c r="E54" s="4" t="n"/>
      <c r="F54" s="4" t="n"/>
      <c r="G54" s="4" t="n"/>
      <c r="H54" s="4" t="n"/>
      <c r="I54" s="4" t="inlineStr">
        <is>
          <t>Speedup</t>
        </is>
      </c>
      <c r="J54" s="4" t="n"/>
      <c r="K54" s="4" t="n"/>
      <c r="L54" s="4" t="n"/>
      <c r="M54" s="5" t="n"/>
      <c r="N54" s="5" t="n"/>
      <c r="O54" s="5" t="n"/>
      <c r="P54" s="5" t="n"/>
      <c r="Q54" s="5" t="n"/>
    </row>
    <row r="55">
      <c r="A55" s="4" t="n"/>
      <c r="B55" s="5" t="n">
        <v>0.01</v>
      </c>
      <c r="C55" s="5" t="n">
        <v>0.03</v>
      </c>
      <c r="D55" s="5" t="n">
        <v>0.06</v>
      </c>
      <c r="E55" s="4" t="n"/>
      <c r="F55" s="5" t="n"/>
      <c r="G55" s="5" t="n"/>
      <c r="H55" s="4" t="n"/>
      <c r="I55" s="4" t="n"/>
      <c r="J55" s="5" t="n">
        <v>0.01</v>
      </c>
      <c r="K55" s="5" t="n">
        <v>0.03</v>
      </c>
      <c r="L55" s="5" t="n">
        <v>0.06</v>
      </c>
      <c r="M55" s="4" t="n"/>
      <c r="N55" s="5" t="n"/>
      <c r="O55" s="5" t="n">
        <v>0.01</v>
      </c>
      <c r="P55" s="5" t="n">
        <v>0.03</v>
      </c>
      <c r="Q55" s="5" t="n">
        <v>0.06</v>
      </c>
    </row>
    <row r="56">
      <c r="A56" s="4" t="inlineStr">
        <is>
          <t>CPU-16T (Intel Xeon Platinum 8480+)</t>
        </is>
      </c>
      <c r="B56" s="4" t="n">
        <v>14.955</v>
      </c>
      <c r="C56" s="4" t="n">
        <v>33.043</v>
      </c>
      <c r="D56" s="4" t="n">
        <v>70.681</v>
      </c>
      <c r="E56" s="4" t="n"/>
      <c r="F56" s="4" t="n"/>
      <c r="G56" s="4" t="n"/>
      <c r="H56" s="4" t="n"/>
      <c r="I56" s="4" t="inlineStr">
        <is>
          <t>CPU-Serial</t>
        </is>
      </c>
      <c r="J56" s="4" t="e">
        <v>#DIV/0!</v>
      </c>
      <c r="K56" s="4" t="e">
        <v>#DIV/0!</v>
      </c>
      <c r="L56" s="4" t="e">
        <v>#DIV/0!</v>
      </c>
      <c r="M56" s="4" t="n"/>
      <c r="N56" s="4" t="n"/>
      <c r="O56" s="4" t="n"/>
      <c r="P56" s="4" t="n"/>
      <c r="Q56" s="4" t="n"/>
    </row>
    <row r="57">
      <c r="A57" s="4" t="inlineStr">
        <is>
          <t>GPU-Hopper</t>
        </is>
      </c>
      <c r="B57" s="4" t="n">
        <v>7</v>
      </c>
      <c r="C57" s="4" t="n">
        <v>9</v>
      </c>
      <c r="D57" s="4" t="n">
        <v>13</v>
      </c>
      <c r="E57" s="4" t="n"/>
      <c r="F57" s="4" t="n"/>
      <c r="G57" s="4" t="n"/>
      <c r="H57" s="4" t="n"/>
      <c r="I57" s="4" t="inlineStr">
        <is>
          <t>GPU-Hopper</t>
        </is>
      </c>
      <c r="J57" s="4" t="e">
        <v>#DIV/0!</v>
      </c>
      <c r="K57" s="4" t="e">
        <v>#DIV/0!</v>
      </c>
      <c r="L57" s="4" t="e">
        <v>#DIV/0!</v>
      </c>
      <c r="M57" s="4" t="n"/>
      <c r="N57" s="4" t="inlineStr">
        <is>
          <t>GPU-Hopper/MASS-Hopper</t>
        </is>
      </c>
      <c r="O57" s="4" t="e">
        <v>#DIV/0!</v>
      </c>
      <c r="P57" s="4" t="e">
        <v>#DIV/0!</v>
      </c>
      <c r="Q57" s="4" t="e">
        <v>#DIV/0!</v>
      </c>
    </row>
    <row r="58">
      <c r="A58" s="4" t="inlineStr">
        <is>
          <t>MASS-Hopper</t>
        </is>
      </c>
      <c r="B58" s="4" t="n">
        <v>6</v>
      </c>
      <c r="C58" s="4" t="n"/>
      <c r="D58" s="4" t="n"/>
      <c r="E58" s="4" t="n"/>
      <c r="F58" s="4" t="n"/>
      <c r="G58" s="4" t="n"/>
      <c r="H58" s="4" t="n"/>
      <c r="I58" s="4" t="inlineStr">
        <is>
          <t>MASS-Hopper</t>
        </is>
      </c>
      <c r="J58" s="4" t="e">
        <v>#DIV/0!</v>
      </c>
      <c r="K58" s="4" t="e">
        <v>#DIV/0!</v>
      </c>
      <c r="L58" s="4" t="e">
        <v>#DIV/0!</v>
      </c>
      <c r="M58" s="4" t="n"/>
      <c r="N58" s="4" t="n"/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4" t="inlineStr">
        <is>
          <t>ER-p</t>
        </is>
      </c>
      <c r="B60" s="4" t="inlineStr">
        <is>
          <t>p=0.1%</t>
        </is>
      </c>
      <c r="C60" s="4" t="n"/>
      <c r="D60" s="4" t="n"/>
      <c r="E60" s="4" t="n"/>
      <c r="F60" s="4" t="n"/>
      <c r="G60" s="4" t="n"/>
      <c r="H60" s="4" t="n"/>
      <c r="I60" s="4" t="inlineStr">
        <is>
          <t>ER-p</t>
        </is>
      </c>
      <c r="J60" s="4" t="inlineStr">
        <is>
          <t>p=0.1%</t>
        </is>
      </c>
      <c r="K60" s="4" t="n"/>
      <c r="L60" s="4" t="n"/>
      <c r="M60" s="4" t="n"/>
      <c r="N60" s="4" t="n"/>
      <c r="O60" s="4" t="n"/>
      <c r="P60" s="4" t="n"/>
      <c r="Q60" s="4" t="n"/>
    </row>
    <row r="61">
      <c r="A61" s="4" t="inlineStr">
        <is>
          <t>3 years</t>
        </is>
      </c>
      <c r="B61" s="4" t="n"/>
      <c r="C61" s="4" t="n"/>
      <c r="D61" s="4" t="n"/>
      <c r="E61" s="4" t="n"/>
      <c r="F61" s="4" t="n"/>
      <c r="G61" s="4" t="n"/>
      <c r="H61" s="4" t="n"/>
      <c r="I61" s="4" t="inlineStr">
        <is>
          <t>3 years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4" t="inlineStr">
        <is>
          <t>TIMING (seconds)</t>
        </is>
      </c>
      <c r="B62" s="4" t="n"/>
      <c r="C62" s="4" t="n"/>
      <c r="D62" s="4" t="n"/>
      <c r="E62" s="4" t="n"/>
      <c r="F62" s="4" t="n"/>
      <c r="G62" s="4" t="n"/>
      <c r="H62" s="4" t="n"/>
      <c r="I62" s="4" t="inlineStr">
        <is>
          <t>Speedup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</row>
    <row r="63">
      <c r="A63" s="4" t="n"/>
      <c r="B63" s="5" t="n">
        <v>0.01</v>
      </c>
      <c r="C63" s="5" t="n">
        <v>0.03</v>
      </c>
      <c r="D63" s="5" t="n">
        <v>0.06</v>
      </c>
      <c r="E63" s="4" t="n"/>
      <c r="F63" s="5" t="n"/>
      <c r="G63" s="5" t="n"/>
      <c r="H63" s="4" t="n"/>
      <c r="I63" s="4" t="n"/>
      <c r="J63" s="5" t="n">
        <v>0.01</v>
      </c>
      <c r="K63" s="5" t="n">
        <v>0.03</v>
      </c>
      <c r="L63" s="5" t="n">
        <v>0.06</v>
      </c>
      <c r="M63" s="5" t="n"/>
      <c r="N63" s="5" t="n"/>
      <c r="O63" s="5" t="n">
        <v>0.01</v>
      </c>
      <c r="P63" s="5" t="n">
        <v>0.03</v>
      </c>
      <c r="Q63" s="5" t="n">
        <v>0.06</v>
      </c>
    </row>
    <row r="64">
      <c r="A64" s="4" t="inlineStr">
        <is>
          <t>CPU-16T (Intel Xeon Platinum 8480+)</t>
        </is>
      </c>
      <c r="B64" s="4" t="n">
        <v>22.52</v>
      </c>
      <c r="C64" s="4" t="n">
        <v>55.701</v>
      </c>
      <c r="D64" s="4" t="n">
        <v>120.65</v>
      </c>
      <c r="E64" s="4" t="n"/>
      <c r="F64" s="4" t="n"/>
      <c r="G64" s="4" t="n"/>
      <c r="H64" s="4" t="n"/>
      <c r="I64" s="4" t="inlineStr">
        <is>
          <t>CPU-Serial</t>
        </is>
      </c>
      <c r="J64" s="4" t="e">
        <v>#DIV/0!</v>
      </c>
      <c r="K64" s="4" t="e">
        <v>#DIV/0!</v>
      </c>
      <c r="L64" s="4" t="e">
        <v>#DIV/0!</v>
      </c>
      <c r="M64" s="4" t="n"/>
      <c r="N64" s="4" t="n"/>
      <c r="O64" s="4" t="n"/>
      <c r="P64" s="4" t="n"/>
      <c r="Q64" s="4" t="n"/>
    </row>
    <row r="65">
      <c r="A65" s="4" t="inlineStr">
        <is>
          <t>GPU-Hopper</t>
        </is>
      </c>
      <c r="B65" s="4" t="n"/>
      <c r="C65" s="4" t="n"/>
      <c r="D65" s="4" t="n"/>
      <c r="E65" s="4" t="n"/>
      <c r="F65" s="4" t="n"/>
      <c r="G65" s="4" t="n"/>
      <c r="H65" s="4" t="n"/>
      <c r="I65" s="4" t="inlineStr">
        <is>
          <t>GPU-Hopper</t>
        </is>
      </c>
      <c r="J65" s="4" t="e">
        <v>#DIV/0!</v>
      </c>
      <c r="K65" s="4" t="e">
        <v>#DIV/0!</v>
      </c>
      <c r="L65" s="4" t="e">
        <v>#DIV/0!</v>
      </c>
      <c r="M65" s="4" t="n"/>
      <c r="N65" s="4" t="inlineStr">
        <is>
          <t>GPU-Hopper/MASS-Hopper</t>
        </is>
      </c>
      <c r="O65" s="4" t="e">
        <v>#DIV/0!</v>
      </c>
      <c r="P65" s="4" t="e">
        <v>#DIV/0!</v>
      </c>
      <c r="Q65" s="4" t="e">
        <v>#DIV/0!</v>
      </c>
    </row>
    <row r="66">
      <c r="A66" s="4" t="inlineStr">
        <is>
          <t>MASS-Hopper</t>
        </is>
      </c>
      <c r="B66" s="4" t="n"/>
      <c r="C66" s="4" t="n"/>
      <c r="D66" s="4" t="n"/>
      <c r="E66" s="4" t="n"/>
      <c r="F66" s="4" t="n"/>
      <c r="G66" s="4" t="n"/>
      <c r="H66" s="4" t="n"/>
      <c r="I66" s="4" t="inlineStr">
        <is>
          <t>MASS-Hopper</t>
        </is>
      </c>
      <c r="J66" s="4" t="e">
        <v>#DIV/0!</v>
      </c>
      <c r="K66" s="4" t="e">
        <v>#DIV/0!</v>
      </c>
      <c r="L66" s="4" t="e">
        <v>#DIV/0!</v>
      </c>
      <c r="M66" s="4" t="n"/>
      <c r="N66" s="4" t="n"/>
      <c r="O66" s="4" t="n"/>
      <c r="P66" s="4" t="n"/>
      <c r="Q66" s="4" t="n"/>
    </row>
    <row r="67"/>
    <row r="68">
      <c r="A68" s="4" t="inlineStr">
        <is>
          <t>eu</t>
        </is>
      </c>
    </row>
    <row r="69">
      <c r="A69" s="4" t="n"/>
      <c r="B69" s="4" t="inlineStr">
        <is>
          <t>p=0.01%</t>
        </is>
      </c>
      <c r="C69" s="4" t="n"/>
      <c r="D69" s="4" t="n"/>
      <c r="E69" s="4" t="n"/>
      <c r="F69" s="4" t="n"/>
      <c r="G69" s="4" t="n"/>
      <c r="H69" s="4" t="n"/>
      <c r="I69" s="4" t="inlineStr">
        <is>
          <t>ER-p</t>
        </is>
      </c>
      <c r="J69" s="4" t="inlineStr">
        <is>
          <t>p=0.01%</t>
        </is>
      </c>
      <c r="K69" s="4" t="n"/>
      <c r="L69" s="4" t="n"/>
      <c r="M69" s="4" t="n"/>
      <c r="N69" s="4" t="n"/>
      <c r="O69" s="4" t="n"/>
      <c r="P69" s="4" t="n"/>
      <c r="Q69" s="4" t="n"/>
    </row>
    <row r="70">
      <c r="A70" s="4" t="inlineStr">
        <is>
          <t xml:space="preserve">3 years </t>
        </is>
      </c>
      <c r="B70" s="4" t="n"/>
      <c r="C70" s="4" t="n"/>
      <c r="D70" s="4" t="n"/>
      <c r="E70" s="4" t="n"/>
      <c r="F70" s="4" t="n"/>
      <c r="G70" s="4" t="n"/>
      <c r="H70" s="4" t="n"/>
      <c r="I70" s="4" t="inlineStr">
        <is>
          <t xml:space="preserve">3 years 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</row>
    <row r="71">
      <c r="A71" s="4" t="inlineStr">
        <is>
          <t>TIMING (seconds)</t>
        </is>
      </c>
      <c r="B71" s="4" t="n"/>
      <c r="C71" s="4" t="n"/>
      <c r="D71" s="4" t="n"/>
      <c r="E71" s="4" t="n"/>
      <c r="F71" s="4" t="n"/>
      <c r="G71" s="4" t="n"/>
      <c r="H71" s="4" t="n"/>
      <c r="I71" s="4" t="inlineStr">
        <is>
          <t>Speedup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</row>
    <row r="72">
      <c r="A72" s="4" t="n"/>
      <c r="B72" s="5" t="n">
        <v>0.01</v>
      </c>
      <c r="C72" s="5" t="n">
        <v>0.03</v>
      </c>
      <c r="D72" s="5" t="n">
        <v>0.06</v>
      </c>
      <c r="E72" s="4" t="n"/>
      <c r="F72" s="5" t="n"/>
      <c r="G72" s="5" t="n"/>
      <c r="H72" s="4" t="n"/>
      <c r="I72" s="4" t="n"/>
      <c r="J72" s="5" t="n">
        <v>0.01</v>
      </c>
      <c r="K72" s="5" t="n">
        <v>0.03</v>
      </c>
      <c r="L72" s="5" t="n">
        <v>0.06</v>
      </c>
      <c r="M72" s="5" t="n"/>
      <c r="N72" s="5" t="n"/>
      <c r="O72" s="5" t="n">
        <v>0.01</v>
      </c>
      <c r="P72" s="5" t="n">
        <v>0.03</v>
      </c>
      <c r="Q72" s="5" t="n">
        <v>0.06</v>
      </c>
    </row>
    <row r="73">
      <c r="A73" s="4" t="inlineStr">
        <is>
          <t>CPU-16T (Intel Xeon Platinum 8480+)</t>
        </is>
      </c>
      <c r="B73" s="4" t="n">
        <v>5.189</v>
      </c>
      <c r="C73" s="4" t="n">
        <v>8.734999999999999</v>
      </c>
      <c r="D73" s="4" t="n">
        <v>16.605</v>
      </c>
      <c r="E73" s="4" t="n"/>
      <c r="F73" s="4" t="n"/>
      <c r="G73" s="4" t="n"/>
      <c r="H73" s="4" t="n"/>
      <c r="I73" s="4" t="inlineStr">
        <is>
          <t>CPU-Serial</t>
        </is>
      </c>
      <c r="J73" s="4" t="e">
        <v>#DIV/0!</v>
      </c>
      <c r="K73" s="4" t="e">
        <v>#DIV/0!</v>
      </c>
      <c r="L73" s="4" t="e">
        <v>#DIV/0!</v>
      </c>
      <c r="M73" s="4" t="n"/>
      <c r="N73" s="4" t="n"/>
      <c r="O73" s="4" t="n"/>
      <c r="P73" s="4" t="n"/>
      <c r="Q73" s="4" t="n"/>
    </row>
    <row r="74">
      <c r="A74" s="4" t="inlineStr">
        <is>
          <t>GPU-Hopper</t>
        </is>
      </c>
      <c r="B74" s="4" t="n">
        <v>4</v>
      </c>
      <c r="C74" s="4" t="n">
        <v>5</v>
      </c>
      <c r="D74" s="4" t="n">
        <v>7</v>
      </c>
      <c r="E74" s="4" t="n"/>
      <c r="F74" s="4" t="n"/>
      <c r="G74" s="4" t="n"/>
      <c r="H74" s="4" t="n"/>
      <c r="I74" s="4" t="inlineStr">
        <is>
          <t>GPU-Hopper</t>
        </is>
      </c>
      <c r="J74" s="4" t="e">
        <v>#DIV/0!</v>
      </c>
      <c r="K74" s="4" t="e">
        <v>#DIV/0!</v>
      </c>
      <c r="L74" s="4" t="e">
        <v>#DIV/0!</v>
      </c>
      <c r="M74" s="4" t="n"/>
      <c r="N74" s="4" t="inlineStr">
        <is>
          <t>GPU-Hopper/MASS-Hopper</t>
        </is>
      </c>
      <c r="O74" s="4" t="e">
        <v>#DIV/0!</v>
      </c>
      <c r="P74" s="4" t="e">
        <v>#DIV/0!</v>
      </c>
      <c r="Q74" s="4" t="e">
        <v>#DIV/0!</v>
      </c>
    </row>
    <row r="75">
      <c r="A75" s="4" t="inlineStr">
        <is>
          <t>MASS-Hopper</t>
        </is>
      </c>
      <c r="B75" s="4" t="n">
        <v>1</v>
      </c>
      <c r="C75" s="4" t="n"/>
      <c r="D75" s="4" t="n"/>
      <c r="E75" s="4" t="n"/>
      <c r="F75" s="4" t="n"/>
      <c r="G75" s="4" t="n"/>
      <c r="H75" s="4" t="n"/>
      <c r="I75" s="4" t="inlineStr">
        <is>
          <t>MASS-Hopper</t>
        </is>
      </c>
      <c r="J75" s="4" t="e">
        <v>#DIV/0!</v>
      </c>
      <c r="K75" s="4" t="e">
        <v>#DIV/0!</v>
      </c>
      <c r="L75" s="4" t="e">
        <v>#DIV/0!</v>
      </c>
      <c r="M75" s="4" t="n"/>
      <c r="N75" s="4" t="n"/>
      <c r="O75" s="4" t="n"/>
      <c r="P75" s="4" t="n"/>
      <c r="Q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>
      <c r="A77" s="4" t="inlineStr">
        <is>
          <t>ER-p</t>
        </is>
      </c>
      <c r="B77" s="4" t="inlineStr">
        <is>
          <t>p=0.03%</t>
        </is>
      </c>
      <c r="C77" s="4" t="n"/>
      <c r="D77" s="4" t="n"/>
      <c r="E77" s="4" t="n"/>
      <c r="F77" s="4" t="n"/>
      <c r="G77" s="4" t="n"/>
      <c r="H77" s="4" t="n"/>
      <c r="I77" s="4" t="inlineStr">
        <is>
          <t>ER-p</t>
        </is>
      </c>
      <c r="J77" s="4" t="inlineStr">
        <is>
          <t>p=0.03%</t>
        </is>
      </c>
      <c r="K77" s="4" t="n"/>
      <c r="L77" s="4" t="n"/>
      <c r="M77" s="4" t="n"/>
      <c r="N77" s="4" t="n"/>
      <c r="O77" s="4" t="n"/>
      <c r="P77" s="4" t="n"/>
      <c r="Q77" s="4" t="n"/>
    </row>
    <row r="78">
      <c r="A78" s="4" t="inlineStr">
        <is>
          <t>3 years</t>
        </is>
      </c>
      <c r="B78" s="4" t="n"/>
      <c r="C78" s="4" t="n"/>
      <c r="D78" s="4" t="n"/>
      <c r="E78" s="4" t="n"/>
      <c r="F78" s="4" t="n"/>
      <c r="G78" s="4" t="n"/>
      <c r="H78" s="4" t="n"/>
      <c r="I78" s="4" t="inlineStr">
        <is>
          <t>3 years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</row>
    <row r="79">
      <c r="A79" s="4" t="inlineStr">
        <is>
          <t>TIMING (seconds)</t>
        </is>
      </c>
      <c r="B79" s="4" t="n"/>
      <c r="C79" s="4" t="n"/>
      <c r="D79" s="4" t="n"/>
      <c r="E79" s="4" t="n"/>
      <c r="F79" s="4" t="n"/>
      <c r="G79" s="4" t="n"/>
      <c r="H79" s="4" t="n"/>
      <c r="I79" s="4" t="inlineStr">
        <is>
          <t>Speedup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</row>
    <row r="80">
      <c r="A80" s="4" t="n"/>
      <c r="B80" s="5" t="n">
        <v>0.01</v>
      </c>
      <c r="C80" s="5" t="n">
        <v>0.03</v>
      </c>
      <c r="D80" s="5" t="n">
        <v>0.06</v>
      </c>
      <c r="E80" s="4" t="n"/>
      <c r="F80" s="5" t="n"/>
      <c r="G80" s="5" t="n"/>
      <c r="H80" s="4" t="n"/>
      <c r="I80" s="4" t="n"/>
      <c r="J80" s="5" t="n">
        <v>0.01</v>
      </c>
      <c r="K80" s="5" t="n">
        <v>0.03</v>
      </c>
      <c r="L80" s="5" t="n">
        <v>0.06</v>
      </c>
      <c r="M80" s="4" t="n"/>
      <c r="N80" s="5" t="n"/>
      <c r="O80" s="5" t="n">
        <v>0.01</v>
      </c>
      <c r="P80" s="5" t="n">
        <v>0.03</v>
      </c>
      <c r="Q80" s="5" t="n">
        <v>0.06</v>
      </c>
    </row>
    <row r="81">
      <c r="A81" s="4" t="inlineStr">
        <is>
          <t>CPU-16T (Intel Xeon Platinum 8480+)</t>
        </is>
      </c>
      <c r="B81" s="4" t="n">
        <v>6.836</v>
      </c>
      <c r="C81" s="4" t="n">
        <v>15.735</v>
      </c>
      <c r="D81" s="4" t="n">
        <v>34.292</v>
      </c>
      <c r="E81" s="4" t="n"/>
      <c r="F81" s="4" t="n"/>
      <c r="G81" s="4" t="n"/>
      <c r="H81" s="4" t="n"/>
      <c r="I81" s="4" t="inlineStr">
        <is>
          <t>CPU-Serial</t>
        </is>
      </c>
      <c r="J81" s="4" t="e">
        <v>#DIV/0!</v>
      </c>
      <c r="K81" s="4" t="e">
        <v>#DIV/0!</v>
      </c>
      <c r="L81" s="4" t="e">
        <v>#DIV/0!</v>
      </c>
      <c r="M81" s="4" t="n"/>
      <c r="N81" s="4" t="n"/>
      <c r="O81" s="4" t="n"/>
      <c r="P81" s="4" t="n"/>
      <c r="Q81" s="4" t="n"/>
    </row>
    <row r="82">
      <c r="A82" s="4" t="inlineStr">
        <is>
          <t>GPU-Hopper</t>
        </is>
      </c>
      <c r="B82" s="4" t="n">
        <v>4</v>
      </c>
      <c r="C82" s="4" t="n">
        <v>5</v>
      </c>
      <c r="D82" s="4" t="n">
        <v>7</v>
      </c>
      <c r="E82" s="4" t="n"/>
      <c r="F82" s="4" t="n"/>
      <c r="G82" s="4" t="n"/>
      <c r="H82" s="4" t="n"/>
      <c r="I82" s="4" t="inlineStr">
        <is>
          <t>GPU-Hopper</t>
        </is>
      </c>
      <c r="J82" s="4" t="e">
        <v>#DIV/0!</v>
      </c>
      <c r="K82" s="4" t="e">
        <v>#DIV/0!</v>
      </c>
      <c r="L82" s="4" t="e">
        <v>#DIV/0!</v>
      </c>
      <c r="M82" s="4" t="n"/>
      <c r="N82" s="4" t="inlineStr">
        <is>
          <t>GPU-Hopper/MASS-Hopper</t>
        </is>
      </c>
      <c r="O82" s="4" t="e">
        <v>#DIV/0!</v>
      </c>
      <c r="P82" s="4" t="e">
        <v>#DIV/0!</v>
      </c>
      <c r="Q82" s="4" t="e">
        <v>#DIV/0!</v>
      </c>
    </row>
    <row r="83">
      <c r="A83" s="4" t="inlineStr">
        <is>
          <t>MASS-Hopper</t>
        </is>
      </c>
      <c r="B83" s="4" t="n">
        <v>1</v>
      </c>
      <c r="C83" s="4" t="n"/>
      <c r="D83" s="4" t="n"/>
      <c r="E83" s="4" t="n"/>
      <c r="F83" s="4" t="n"/>
      <c r="G83" s="4" t="n"/>
      <c r="H83" s="4" t="n"/>
      <c r="I83" s="4" t="inlineStr">
        <is>
          <t>MASS-Hopper</t>
        </is>
      </c>
      <c r="J83" s="4" t="e">
        <v>#DIV/0!</v>
      </c>
      <c r="K83" s="4" t="e">
        <v>#DIV/0!</v>
      </c>
      <c r="L83" s="4" t="e">
        <v>#DIV/0!</v>
      </c>
      <c r="M83" s="4" t="n"/>
      <c r="N83" s="4" t="n"/>
      <c r="O83" s="4" t="n"/>
      <c r="P83" s="4" t="n"/>
      <c r="Q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</row>
    <row r="85">
      <c r="A85" s="4" t="inlineStr">
        <is>
          <t>ER-p</t>
        </is>
      </c>
      <c r="B85" s="4" t="inlineStr">
        <is>
          <t>p=0.05%</t>
        </is>
      </c>
      <c r="C85" s="4" t="n"/>
      <c r="D85" s="4" t="n"/>
      <c r="E85" s="4" t="n"/>
      <c r="F85" s="4" t="n"/>
      <c r="G85" s="4" t="n"/>
      <c r="H85" s="4" t="n"/>
      <c r="I85" s="4" t="inlineStr">
        <is>
          <t>ER-p</t>
        </is>
      </c>
      <c r="J85" s="4" t="inlineStr">
        <is>
          <t>p=0.05%</t>
        </is>
      </c>
      <c r="K85" s="4" t="n"/>
      <c r="L85" s="4" t="n"/>
      <c r="M85" s="4" t="n"/>
      <c r="N85" s="4" t="n"/>
      <c r="O85" s="4" t="n"/>
      <c r="P85" s="4" t="n"/>
      <c r="Q85" s="4" t="n"/>
    </row>
    <row r="86">
      <c r="A86" s="4" t="inlineStr">
        <is>
          <t xml:space="preserve">3 years </t>
        </is>
      </c>
      <c r="B86" s="4" t="n"/>
      <c r="C86" s="4" t="n"/>
      <c r="D86" s="4" t="n"/>
      <c r="E86" s="4" t="n"/>
      <c r="F86" s="4" t="n"/>
      <c r="G86" s="4" t="n"/>
      <c r="H86" s="4" t="n"/>
      <c r="I86" s="4" t="inlineStr">
        <is>
          <t xml:space="preserve">3 years 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</row>
    <row r="87">
      <c r="A87" s="4" t="inlineStr">
        <is>
          <t>TIMING (seconds)</t>
        </is>
      </c>
      <c r="B87" s="4" t="n"/>
      <c r="C87" s="4" t="n"/>
      <c r="D87" s="4" t="n"/>
      <c r="E87" s="4" t="n"/>
      <c r="F87" s="4" t="n"/>
      <c r="G87" s="4" t="n"/>
      <c r="H87" s="4" t="n"/>
      <c r="I87" s="4" t="inlineStr">
        <is>
          <t>Speedup</t>
        </is>
      </c>
      <c r="J87" s="4" t="n"/>
      <c r="K87" s="4" t="n"/>
      <c r="L87" s="4" t="n"/>
      <c r="M87" s="5" t="n"/>
      <c r="N87" s="5" t="n"/>
      <c r="O87" s="5" t="n"/>
      <c r="P87" s="5" t="n"/>
      <c r="Q87" s="5" t="n"/>
    </row>
    <row r="88">
      <c r="A88" s="4" t="n"/>
      <c r="B88" s="5" t="n">
        <v>0.01</v>
      </c>
      <c r="C88" s="5" t="n">
        <v>0.03</v>
      </c>
      <c r="D88" s="5" t="n">
        <v>0.06</v>
      </c>
      <c r="E88" s="4" t="n"/>
      <c r="F88" s="5" t="n"/>
      <c r="G88" s="5" t="n"/>
      <c r="H88" s="4" t="n"/>
      <c r="I88" s="4" t="n"/>
      <c r="J88" s="5" t="n">
        <v>0.01</v>
      </c>
      <c r="K88" s="5" t="n">
        <v>0.03</v>
      </c>
      <c r="L88" s="5" t="n">
        <v>0.06</v>
      </c>
      <c r="M88" s="4" t="n"/>
      <c r="N88" s="5" t="n"/>
      <c r="O88" s="5" t="n">
        <v>0.01</v>
      </c>
      <c r="P88" s="5" t="n">
        <v>0.03</v>
      </c>
      <c r="Q88" s="5" t="n">
        <v>0.06</v>
      </c>
    </row>
    <row r="89">
      <c r="A89" s="4" t="inlineStr">
        <is>
          <t>CPU-16T (Intel Xeon Platinum 8480+)</t>
        </is>
      </c>
      <c r="B89" s="4" t="n">
        <v>8.305</v>
      </c>
      <c r="C89" s="4" t="n">
        <v>18.9</v>
      </c>
      <c r="D89" s="4" t="n">
        <v>39.485</v>
      </c>
      <c r="E89" s="4" t="n"/>
      <c r="F89" s="4" t="n"/>
      <c r="G89" s="4" t="n"/>
      <c r="H89" s="4" t="n"/>
      <c r="I89" s="4" t="inlineStr">
        <is>
          <t>CPU-Serial</t>
        </is>
      </c>
      <c r="J89" s="4" t="e">
        <v>#DIV/0!</v>
      </c>
      <c r="K89" s="4" t="e">
        <v>#DIV/0!</v>
      </c>
      <c r="L89" s="4" t="e">
        <v>#DIV/0!</v>
      </c>
      <c r="M89" s="4" t="n"/>
      <c r="N89" s="4" t="n"/>
      <c r="O89" s="4" t="n"/>
      <c r="P89" s="4" t="n"/>
      <c r="Q89" s="4" t="n"/>
    </row>
    <row r="90">
      <c r="A90" s="4" t="inlineStr">
        <is>
          <t>GPU-Hopper</t>
        </is>
      </c>
      <c r="B90" s="4" t="n">
        <v>4</v>
      </c>
      <c r="C90" s="4" t="n">
        <v>6</v>
      </c>
      <c r="D90" s="4" t="n">
        <v>8</v>
      </c>
      <c r="E90" s="4" t="n"/>
      <c r="F90" s="4" t="n"/>
      <c r="G90" s="4" t="n"/>
      <c r="H90" s="4" t="n"/>
      <c r="I90" s="4" t="inlineStr">
        <is>
          <t>GPU-Hopper</t>
        </is>
      </c>
      <c r="J90" s="4" t="e">
        <v>#DIV/0!</v>
      </c>
      <c r="K90" s="4" t="e">
        <v>#DIV/0!</v>
      </c>
      <c r="L90" s="4" t="e">
        <v>#DIV/0!</v>
      </c>
      <c r="M90" s="4" t="n"/>
      <c r="N90" s="4" t="inlineStr">
        <is>
          <t>GPU-Hopper/MASS-Hopper</t>
        </is>
      </c>
      <c r="O90" s="4" t="e">
        <v>#DIV/0!</v>
      </c>
      <c r="P90" s="4" t="e">
        <v>#DIV/0!</v>
      </c>
      <c r="Q90" s="4" t="e">
        <v>#DIV/0!</v>
      </c>
    </row>
    <row r="91">
      <c r="A91" s="4" t="inlineStr">
        <is>
          <t>MASS-Hopper</t>
        </is>
      </c>
      <c r="B91" s="4" t="n">
        <v>3</v>
      </c>
      <c r="C91" s="4" t="n"/>
      <c r="D91" s="4" t="n"/>
      <c r="E91" s="4" t="n"/>
      <c r="F91" s="4" t="n"/>
      <c r="G91" s="4" t="n"/>
      <c r="H91" s="4" t="n"/>
      <c r="I91" s="4" t="inlineStr">
        <is>
          <t>MASS-Hopper</t>
        </is>
      </c>
      <c r="J91" s="4" t="e">
        <v>#DIV/0!</v>
      </c>
      <c r="K91" s="4" t="e">
        <v>#DIV/0!</v>
      </c>
      <c r="L91" s="4" t="e">
        <v>#DIV/0!</v>
      </c>
      <c r="M91" s="4" t="n"/>
      <c r="N91" s="4" t="n"/>
      <c r="O91" s="4" t="n"/>
      <c r="P91" s="4" t="n"/>
      <c r="Q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>
      <c r="A93" s="4" t="inlineStr">
        <is>
          <t>ER-p</t>
        </is>
      </c>
      <c r="B93" s="4" t="inlineStr">
        <is>
          <t>p=0.1%</t>
        </is>
      </c>
      <c r="C93" s="4" t="n"/>
      <c r="D93" s="4" t="n"/>
      <c r="E93" s="4" t="n"/>
      <c r="F93" s="4" t="n"/>
      <c r="G93" s="4" t="n"/>
      <c r="H93" s="4" t="n"/>
      <c r="I93" s="4" t="inlineStr">
        <is>
          <t>ER-p</t>
        </is>
      </c>
      <c r="J93" s="4" t="inlineStr">
        <is>
          <t>p=0.1%</t>
        </is>
      </c>
      <c r="K93" s="4" t="n"/>
      <c r="L93" s="4" t="n"/>
      <c r="M93" s="4" t="n"/>
      <c r="N93" s="4" t="n"/>
      <c r="O93" s="4" t="n"/>
      <c r="P93" s="4" t="n"/>
      <c r="Q93" s="4" t="n"/>
    </row>
    <row r="94">
      <c r="A94" s="4" t="inlineStr">
        <is>
          <t>3 years</t>
        </is>
      </c>
      <c r="B94" s="4" t="n"/>
      <c r="C94" s="4" t="n"/>
      <c r="D94" s="4" t="n"/>
      <c r="E94" s="4" t="n"/>
      <c r="F94" s="4" t="n"/>
      <c r="G94" s="4" t="n"/>
      <c r="H94" s="4" t="n"/>
      <c r="I94" s="4" t="inlineStr">
        <is>
          <t>3 years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</row>
    <row r="95">
      <c r="A95" s="4" t="inlineStr">
        <is>
          <t>TIMING (seconds)</t>
        </is>
      </c>
      <c r="B95" s="4" t="n"/>
      <c r="C95" s="4" t="n"/>
      <c r="D95" s="4" t="n"/>
      <c r="E95" s="4" t="n"/>
      <c r="F95" s="4" t="n"/>
      <c r="G95" s="4" t="n"/>
      <c r="H95" s="4" t="n"/>
      <c r="I95" s="4" t="inlineStr">
        <is>
          <t>Speedup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</row>
    <row r="96">
      <c r="A96" s="4" t="n"/>
      <c r="B96" s="5" t="n">
        <v>0.01</v>
      </c>
      <c r="C96" s="5" t="n">
        <v>0.03</v>
      </c>
      <c r="D96" s="5" t="n">
        <v>0.06</v>
      </c>
      <c r="E96" s="4" t="n"/>
      <c r="F96" s="5" t="n"/>
      <c r="G96" s="5" t="n"/>
      <c r="H96" s="4" t="n"/>
      <c r="I96" s="4" t="n"/>
      <c r="J96" s="5" t="n">
        <v>0.01</v>
      </c>
      <c r="K96" s="5" t="n">
        <v>0.03</v>
      </c>
      <c r="L96" s="5" t="n">
        <v>0.06</v>
      </c>
      <c r="M96" s="5" t="n"/>
      <c r="N96" s="5" t="n"/>
      <c r="O96" s="5" t="n">
        <v>0.01</v>
      </c>
      <c r="P96" s="5" t="n">
        <v>0.03</v>
      </c>
      <c r="Q96" s="5" t="n">
        <v>0.06</v>
      </c>
    </row>
    <row r="97">
      <c r="A97" s="4" t="inlineStr">
        <is>
          <t>CPU-16T (Intel Xeon Platinum 8480+)</t>
        </is>
      </c>
      <c r="B97" s="4" t="n">
        <v>12.103</v>
      </c>
      <c r="C97" s="4" t="n">
        <v>33.223</v>
      </c>
      <c r="D97" s="4" t="n">
        <v>76.663</v>
      </c>
      <c r="E97" s="4" t="n"/>
      <c r="F97" s="4" t="n"/>
      <c r="G97" s="4" t="n"/>
      <c r="H97" s="4" t="n"/>
      <c r="I97" s="4" t="inlineStr">
        <is>
          <t>CPU-Serial</t>
        </is>
      </c>
      <c r="J97" s="4" t="e">
        <v>#DIV/0!</v>
      </c>
      <c r="K97" s="4" t="e">
        <v>#DIV/0!</v>
      </c>
      <c r="L97" s="4" t="e">
        <v>#DIV/0!</v>
      </c>
      <c r="M97" s="4" t="n"/>
      <c r="N97" s="4" t="n"/>
      <c r="O97" s="4" t="n"/>
      <c r="P97" s="4" t="n"/>
      <c r="Q97" s="4" t="n"/>
    </row>
    <row r="98">
      <c r="A98" s="4" t="inlineStr">
        <is>
          <t>GPU-Hopper</t>
        </is>
      </c>
      <c r="B98" s="4" t="n"/>
      <c r="C98" s="4" t="n"/>
      <c r="D98" s="4" t="n"/>
      <c r="E98" s="4" t="n"/>
      <c r="F98" s="4" t="n"/>
      <c r="G98" s="4" t="n"/>
      <c r="H98" s="4" t="n"/>
      <c r="I98" s="4" t="inlineStr">
        <is>
          <t>GPU-Hopper</t>
        </is>
      </c>
      <c r="J98" s="4" t="e">
        <v>#DIV/0!</v>
      </c>
      <c r="K98" s="4" t="e">
        <v>#DIV/0!</v>
      </c>
      <c r="L98" s="4" t="e">
        <v>#DIV/0!</v>
      </c>
      <c r="M98" s="4" t="n"/>
      <c r="N98" s="4" t="inlineStr">
        <is>
          <t>GPU-Hopper/MASS-Hopper</t>
        </is>
      </c>
      <c r="O98" s="4" t="e">
        <v>#DIV/0!</v>
      </c>
      <c r="P98" s="4" t="e">
        <v>#DIV/0!</v>
      </c>
      <c r="Q98" s="4" t="e">
        <v>#DIV/0!</v>
      </c>
    </row>
    <row r="99">
      <c r="A99" s="4" t="inlineStr">
        <is>
          <t>MASS-Hopper</t>
        </is>
      </c>
      <c r="B99" s="4" t="n"/>
      <c r="C99" s="4" t="n"/>
      <c r="D99" s="4" t="n"/>
      <c r="E99" s="4" t="n"/>
      <c r="F99" s="4" t="n"/>
      <c r="G99" s="4" t="n"/>
      <c r="H99" s="4" t="n"/>
      <c r="I99" s="4" t="inlineStr">
        <is>
          <t>MASS-Hopper</t>
        </is>
      </c>
      <c r="J99" s="4" t="e">
        <v>#DIV/0!</v>
      </c>
      <c r="K99" s="4" t="e">
        <v>#DIV/0!</v>
      </c>
      <c r="L99" s="4" t="e">
        <v>#DIV/0!</v>
      </c>
      <c r="M99" s="4" t="n"/>
      <c r="N99" s="4" t="n"/>
      <c r="O99" s="4" t="n"/>
      <c r="P99" s="4" t="n"/>
      <c r="Q99" s="4" t="n"/>
    </row>
    <row r="100"/>
    <row r="101">
      <c r="A101" s="4" t="inlineStr">
        <is>
          <t>yutb</t>
        </is>
      </c>
    </row>
    <row r="102">
      <c r="A102" s="4" t="n"/>
      <c r="B102" s="4" t="inlineStr">
        <is>
          <t>p=0.01%</t>
        </is>
      </c>
      <c r="C102" s="4" t="n"/>
      <c r="D102" s="4" t="n"/>
      <c r="E102" s="4" t="n"/>
      <c r="F102" s="4" t="n"/>
      <c r="G102" s="4" t="n"/>
      <c r="H102" s="4" t="n"/>
      <c r="I102" s="4" t="inlineStr">
        <is>
          <t>ER-p</t>
        </is>
      </c>
      <c r="J102" s="4" t="inlineStr">
        <is>
          <t>p=0.01%</t>
        </is>
      </c>
      <c r="K102" s="4" t="n"/>
      <c r="L102" s="4" t="n"/>
      <c r="M102" s="4" t="n"/>
      <c r="N102" s="4" t="n"/>
      <c r="O102" s="4" t="n"/>
      <c r="P102" s="4" t="n"/>
      <c r="Q102" s="4" t="n"/>
    </row>
    <row r="103">
      <c r="A103" s="4" t="inlineStr">
        <is>
          <t xml:space="preserve">3 years 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inlineStr">
        <is>
          <t xml:space="preserve">3 years 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</row>
    <row r="104">
      <c r="A104" s="4" t="inlineStr">
        <is>
          <t>TIMING (seconds)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inlineStr">
        <is>
          <t>Speedup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</row>
    <row r="105">
      <c r="A105" s="4" t="n"/>
      <c r="B105" s="5" t="n">
        <v>0.01</v>
      </c>
      <c r="C105" s="5" t="n">
        <v>0.03</v>
      </c>
      <c r="D105" s="5" t="n">
        <v>0.06</v>
      </c>
      <c r="E105" s="4" t="n"/>
      <c r="F105" s="5" t="n"/>
      <c r="G105" s="5" t="n"/>
      <c r="H105" s="4" t="n"/>
      <c r="I105" s="4" t="n"/>
      <c r="J105" s="5" t="n">
        <v>0.01</v>
      </c>
      <c r="K105" s="5" t="n">
        <v>0.03</v>
      </c>
      <c r="L105" s="5" t="n">
        <v>0.06</v>
      </c>
      <c r="M105" s="5" t="n"/>
      <c r="N105" s="5" t="n"/>
      <c r="O105" s="5" t="n">
        <v>0.01</v>
      </c>
      <c r="P105" s="5" t="n">
        <v>0.03</v>
      </c>
      <c r="Q105" s="5" t="n">
        <v>0.06</v>
      </c>
    </row>
    <row r="106">
      <c r="A106" s="4" t="inlineStr">
        <is>
          <t>CPU-16T (Intel Xeon Platinum 8480+)</t>
        </is>
      </c>
      <c r="B106" s="4" t="n">
        <v>56.498</v>
      </c>
      <c r="C106" s="4" t="n">
        <v>144.902</v>
      </c>
      <c r="D106" s="4" t="n">
        <v>293.216</v>
      </c>
      <c r="E106" s="4" t="n"/>
      <c r="F106" s="4" t="n"/>
      <c r="G106" s="4" t="n"/>
      <c r="H106" s="4" t="n"/>
      <c r="I106" s="4" t="inlineStr">
        <is>
          <t>CPU-Serial</t>
        </is>
      </c>
      <c r="J106" s="4" t="e">
        <v>#DIV/0!</v>
      </c>
      <c r="K106" s="4" t="e">
        <v>#DIV/0!</v>
      </c>
      <c r="L106" s="4" t="e">
        <v>#DIV/0!</v>
      </c>
      <c r="M106" s="4" t="n"/>
      <c r="N106" s="4" t="n"/>
      <c r="O106" s="4" t="n"/>
      <c r="P106" s="4" t="n"/>
      <c r="Q106" s="4" t="n"/>
    </row>
    <row r="107">
      <c r="A107" s="4" t="inlineStr">
        <is>
          <t>GPU-Hopper</t>
        </is>
      </c>
      <c r="B107" s="4" t="n">
        <v>19</v>
      </c>
      <c r="C107" s="4" t="n">
        <v>27</v>
      </c>
      <c r="D107" s="4" t="n">
        <v>37</v>
      </c>
      <c r="E107" s="4" t="n"/>
      <c r="F107" s="4" t="n"/>
      <c r="G107" s="4" t="n"/>
      <c r="H107" s="4" t="n"/>
      <c r="I107" s="4" t="inlineStr">
        <is>
          <t>GPU-Hopper</t>
        </is>
      </c>
      <c r="J107" s="4" t="e">
        <v>#DIV/0!</v>
      </c>
      <c r="K107" s="4" t="e">
        <v>#DIV/0!</v>
      </c>
      <c r="L107" s="4" t="e">
        <v>#DIV/0!</v>
      </c>
      <c r="M107" s="4" t="n"/>
      <c r="N107" s="4" t="inlineStr">
        <is>
          <t>GPU-Hopper/MASS-Hopper</t>
        </is>
      </c>
      <c r="O107" s="4" t="e">
        <v>#DIV/0!</v>
      </c>
      <c r="P107" s="4" t="e">
        <v>#DIV/0!</v>
      </c>
      <c r="Q107" s="4" t="e">
        <v>#DIV/0!</v>
      </c>
    </row>
    <row r="108">
      <c r="A108" s="4" t="inlineStr">
        <is>
          <t>MASS-Hopper</t>
        </is>
      </c>
      <c r="B108" s="4" t="n">
        <v>17</v>
      </c>
      <c r="C108" s="4" t="n"/>
      <c r="D108" s="4" t="n"/>
      <c r="E108" s="4" t="n"/>
      <c r="F108" s="4" t="n"/>
      <c r="G108" s="4" t="n"/>
      <c r="H108" s="4" t="n"/>
      <c r="I108" s="4" t="inlineStr">
        <is>
          <t>MASS-Hopper</t>
        </is>
      </c>
      <c r="J108" s="4" t="e">
        <v>#DIV/0!</v>
      </c>
      <c r="K108" s="4" t="e">
        <v>#DIV/0!</v>
      </c>
      <c r="L108" s="4" t="e">
        <v>#DIV/0!</v>
      </c>
      <c r="M108" s="4" t="n"/>
      <c r="N108" s="4" t="n"/>
      <c r="O108" s="4" t="n"/>
      <c r="P108" s="4" t="n"/>
      <c r="Q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</row>
    <row r="110">
      <c r="A110" s="4" t="inlineStr">
        <is>
          <t>ER-p</t>
        </is>
      </c>
      <c r="B110" s="4" t="inlineStr">
        <is>
          <t>p=0.03%</t>
        </is>
      </c>
      <c r="C110" s="4" t="n"/>
      <c r="D110" s="4" t="n"/>
      <c r="E110" s="4" t="n"/>
      <c r="F110" s="4" t="n"/>
      <c r="G110" s="4" t="n"/>
      <c r="H110" s="4" t="n"/>
      <c r="I110" s="4" t="inlineStr">
        <is>
          <t>ER-p</t>
        </is>
      </c>
      <c r="J110" s="4" t="inlineStr">
        <is>
          <t>p=0.03%</t>
        </is>
      </c>
      <c r="K110" s="4" t="n"/>
      <c r="L110" s="4" t="n"/>
      <c r="M110" s="4" t="n"/>
      <c r="N110" s="4" t="n"/>
      <c r="O110" s="4" t="n"/>
      <c r="P110" s="4" t="n"/>
      <c r="Q110" s="4" t="n"/>
    </row>
    <row r="111">
      <c r="A111" s="4" t="inlineStr">
        <is>
          <t>3 years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inlineStr">
        <is>
          <t>3 years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</row>
    <row r="112">
      <c r="A112" s="4" t="inlineStr">
        <is>
          <t>TIMING (seconds)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inlineStr">
        <is>
          <t>Speedup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</row>
    <row r="113">
      <c r="A113" s="4" t="n"/>
      <c r="B113" s="5" t="n">
        <v>0.01</v>
      </c>
      <c r="C113" s="5" t="n">
        <v>0.03</v>
      </c>
      <c r="D113" s="5" t="n">
        <v>0.06</v>
      </c>
      <c r="E113" s="4" t="n"/>
      <c r="F113" s="5" t="n"/>
      <c r="G113" s="5" t="n"/>
      <c r="H113" s="4" t="n"/>
      <c r="I113" s="4" t="n"/>
      <c r="J113" s="5" t="n">
        <v>0.01</v>
      </c>
      <c r="K113" s="5" t="n">
        <v>0.03</v>
      </c>
      <c r="L113" s="5" t="n">
        <v>0.06</v>
      </c>
      <c r="M113" s="4" t="n"/>
      <c r="N113" s="5" t="n"/>
      <c r="O113" s="5" t="n">
        <v>0.01</v>
      </c>
      <c r="P113" s="5" t="n">
        <v>0.03</v>
      </c>
      <c r="Q113" s="5" t="n">
        <v>0.06</v>
      </c>
    </row>
    <row r="114">
      <c r="A114" s="4" t="inlineStr">
        <is>
          <t>CPU-16T (Intel Xeon Platinum 8480+)</t>
        </is>
      </c>
      <c r="B114" s="4" t="n">
        <v>107.386</v>
      </c>
      <c r="C114" s="4" t="n">
        <v>321.389</v>
      </c>
      <c r="D114" s="4" t="n">
        <v>722.782</v>
      </c>
      <c r="E114" s="4" t="n"/>
      <c r="F114" s="4" t="n"/>
      <c r="G114" s="4" t="n"/>
      <c r="H114" s="4" t="n"/>
      <c r="I114" s="4" t="inlineStr">
        <is>
          <t>CPU-Serial</t>
        </is>
      </c>
      <c r="J114" s="4" t="e">
        <v>#DIV/0!</v>
      </c>
      <c r="K114" s="4" t="e">
        <v>#DIV/0!</v>
      </c>
      <c r="L114" s="4" t="e">
        <v>#DIV/0!</v>
      </c>
      <c r="M114" s="4" t="n"/>
      <c r="N114" s="4" t="n"/>
      <c r="O114" s="4" t="n"/>
      <c r="P114" s="4" t="n"/>
      <c r="Q114" s="4" t="n"/>
    </row>
    <row r="115">
      <c r="A115" s="4" t="inlineStr">
        <is>
          <t>GPU-Hopper</t>
        </is>
      </c>
      <c r="B115" s="4" t="n">
        <v>23</v>
      </c>
      <c r="C115" s="4" t="n">
        <v>34</v>
      </c>
      <c r="D115" s="4" t="n">
        <v>54</v>
      </c>
      <c r="E115" s="4" t="n"/>
      <c r="F115" s="4" t="n"/>
      <c r="G115" s="4" t="n"/>
      <c r="H115" s="4" t="n"/>
      <c r="I115" s="4" t="inlineStr">
        <is>
          <t>GPU-Hopper</t>
        </is>
      </c>
      <c r="J115" s="4" t="e">
        <v>#DIV/0!</v>
      </c>
      <c r="K115" s="4" t="e">
        <v>#DIV/0!</v>
      </c>
      <c r="L115" s="4" t="e">
        <v>#DIV/0!</v>
      </c>
      <c r="M115" s="4" t="n"/>
      <c r="N115" s="4" t="inlineStr">
        <is>
          <t>GPU-Hopper/MASS-Hopper</t>
        </is>
      </c>
      <c r="O115" s="4" t="e">
        <v>#DIV/0!</v>
      </c>
      <c r="P115" s="4" t="e">
        <v>#DIV/0!</v>
      </c>
      <c r="Q115" s="4" t="e">
        <v>#DIV/0!</v>
      </c>
    </row>
    <row r="116">
      <c r="A116" s="4" t="inlineStr">
        <is>
          <t>MASS-Hopper</t>
        </is>
      </c>
      <c r="B116" s="4" t="n">
        <v>32</v>
      </c>
      <c r="C116" s="4" t="n"/>
      <c r="D116" s="4" t="n"/>
      <c r="E116" s="4" t="n"/>
      <c r="F116" s="4" t="n"/>
      <c r="G116" s="4" t="n"/>
      <c r="H116" s="4" t="n"/>
      <c r="I116" s="4" t="inlineStr">
        <is>
          <t>MASS-Hopper</t>
        </is>
      </c>
      <c r="J116" s="4" t="e">
        <v>#DIV/0!</v>
      </c>
      <c r="K116" s="4" t="e">
        <v>#DIV/0!</v>
      </c>
      <c r="L116" s="4" t="e">
        <v>#DIV/0!</v>
      </c>
      <c r="M116" s="4" t="n"/>
      <c r="N116" s="4" t="n"/>
      <c r="O116" s="4" t="n"/>
      <c r="P116" s="4" t="n"/>
      <c r="Q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</row>
    <row r="118">
      <c r="A118" s="4" t="inlineStr">
        <is>
          <t>ER-p</t>
        </is>
      </c>
      <c r="B118" s="4" t="inlineStr">
        <is>
          <t>p=0.05%</t>
        </is>
      </c>
      <c r="C118" s="4" t="n"/>
      <c r="D118" s="4" t="n"/>
      <c r="E118" s="4" t="n"/>
      <c r="F118" s="4" t="n"/>
      <c r="G118" s="4" t="n"/>
      <c r="H118" s="4" t="n"/>
      <c r="I118" s="4" t="inlineStr">
        <is>
          <t>ER-p</t>
        </is>
      </c>
      <c r="J118" s="4" t="inlineStr">
        <is>
          <t>p=0.05%</t>
        </is>
      </c>
      <c r="K118" s="4" t="n"/>
      <c r="L118" s="4" t="n"/>
      <c r="M118" s="4" t="n"/>
      <c r="N118" s="4" t="n"/>
      <c r="O118" s="4" t="n"/>
      <c r="P118" s="4" t="n"/>
      <c r="Q118" s="4" t="n"/>
    </row>
    <row r="119">
      <c r="A119" s="4" t="inlineStr">
        <is>
          <t xml:space="preserve">3 years 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inlineStr">
        <is>
          <t xml:space="preserve">3 years 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</row>
    <row r="120">
      <c r="A120" s="4" t="inlineStr">
        <is>
          <t>TIMING (seconds)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inlineStr">
        <is>
          <t>Speedup</t>
        </is>
      </c>
      <c r="J120" s="4" t="n"/>
      <c r="K120" s="4" t="n"/>
      <c r="L120" s="4" t="n"/>
      <c r="M120" s="5" t="n"/>
      <c r="N120" s="5" t="n"/>
      <c r="O120" s="5" t="n"/>
      <c r="P120" s="5" t="n"/>
      <c r="Q120" s="5" t="n"/>
    </row>
    <row r="121">
      <c r="A121" s="4" t="n"/>
      <c r="B121" s="5" t="n">
        <v>0.01</v>
      </c>
      <c r="C121" s="5" t="n">
        <v>0.03</v>
      </c>
      <c r="D121" s="5" t="n">
        <v>0.06</v>
      </c>
      <c r="E121" s="4" t="n"/>
      <c r="F121" s="5" t="n"/>
      <c r="G121" s="5" t="n"/>
      <c r="H121" s="4" t="n"/>
      <c r="I121" s="4" t="n"/>
      <c r="J121" s="5" t="n">
        <v>0.01</v>
      </c>
      <c r="K121" s="5" t="n">
        <v>0.03</v>
      </c>
      <c r="L121" s="5" t="n">
        <v>0.06</v>
      </c>
      <c r="M121" s="4" t="n"/>
      <c r="N121" s="5" t="n"/>
      <c r="O121" s="5" t="n">
        <v>0.01</v>
      </c>
      <c r="P121" s="5" t="n">
        <v>0.03</v>
      </c>
      <c r="Q121" s="5" t="n">
        <v>0.06</v>
      </c>
    </row>
    <row r="122">
      <c r="A122" s="4" t="inlineStr">
        <is>
          <t>CPU-16T (Intel Xeon Platinum 8480+)</t>
        </is>
      </c>
      <c r="B122" s="4" t="n">
        <v>129.63</v>
      </c>
      <c r="C122" s="4" t="n">
        <v>404.861</v>
      </c>
      <c r="D122" s="4" t="n">
        <v>1019.378</v>
      </c>
      <c r="E122" s="4" t="n"/>
      <c r="F122" s="4" t="n"/>
      <c r="G122" s="4" t="n"/>
      <c r="H122" s="4" t="n"/>
      <c r="I122" s="4" t="inlineStr">
        <is>
          <t>CPU-Serial</t>
        </is>
      </c>
      <c r="J122" s="4" t="e">
        <v>#DIV/0!</v>
      </c>
      <c r="K122" s="4" t="e">
        <v>#DIV/0!</v>
      </c>
      <c r="L122" s="4" t="e">
        <v>#DIV/0!</v>
      </c>
      <c r="M122" s="4" t="n"/>
      <c r="N122" s="4" t="n"/>
      <c r="O122" s="4" t="n"/>
      <c r="P122" s="4" t="n"/>
      <c r="Q122" s="4" t="n"/>
    </row>
    <row r="123">
      <c r="A123" s="4" t="inlineStr">
        <is>
          <t>GPU-Hopper</t>
        </is>
      </c>
      <c r="B123" s="4" t="n">
        <v>25</v>
      </c>
      <c r="C123" s="4" t="n">
        <v>40</v>
      </c>
      <c r="D123" s="4" t="n">
        <v>72</v>
      </c>
      <c r="E123" s="4" t="n"/>
      <c r="F123" s="4" t="n"/>
      <c r="G123" s="4" t="n"/>
      <c r="H123" s="4" t="n"/>
      <c r="I123" s="4" t="inlineStr">
        <is>
          <t>GPU-Hopper</t>
        </is>
      </c>
      <c r="J123" s="4" t="e">
        <v>#DIV/0!</v>
      </c>
      <c r="K123" s="4" t="e">
        <v>#DIV/0!</v>
      </c>
      <c r="L123" s="4" t="e">
        <v>#DIV/0!</v>
      </c>
      <c r="M123" s="4" t="n"/>
      <c r="N123" s="4" t="inlineStr">
        <is>
          <t>GPU-Hopper/MASS-Hopper</t>
        </is>
      </c>
      <c r="O123" s="4" t="e">
        <v>#DIV/0!</v>
      </c>
      <c r="P123" s="4" t="e">
        <v>#DIV/0!</v>
      </c>
      <c r="Q123" s="4" t="e">
        <v>#DIV/0!</v>
      </c>
    </row>
    <row r="124">
      <c r="A124" s="4" t="inlineStr">
        <is>
          <t>MASS-Hopper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inlineStr">
        <is>
          <t>MASS-Hopper</t>
        </is>
      </c>
      <c r="J124" s="4" t="e">
        <v>#DIV/0!</v>
      </c>
      <c r="K124" s="4" t="e">
        <v>#DIV/0!</v>
      </c>
      <c r="L124" s="4" t="e">
        <v>#DIV/0!</v>
      </c>
      <c r="M124" s="4" t="n"/>
      <c r="N124" s="4" t="n"/>
      <c r="O124" s="4" t="n"/>
      <c r="P124" s="4" t="n"/>
      <c r="Q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</row>
    <row r="126">
      <c r="A126" s="4" t="inlineStr">
        <is>
          <t>ER-p</t>
        </is>
      </c>
      <c r="B126" s="4" t="inlineStr">
        <is>
          <t>p=0.1%</t>
        </is>
      </c>
      <c r="C126" s="4" t="n"/>
      <c r="D126" s="4" t="n"/>
      <c r="E126" s="4" t="n"/>
      <c r="F126" s="4" t="n"/>
      <c r="G126" s="4" t="n"/>
      <c r="H126" s="4" t="n"/>
      <c r="I126" s="4" t="inlineStr">
        <is>
          <t>ER-p</t>
        </is>
      </c>
      <c r="J126" s="4" t="inlineStr">
        <is>
          <t>p=0.1%</t>
        </is>
      </c>
      <c r="K126" s="4" t="n"/>
      <c r="L126" s="4" t="n"/>
      <c r="M126" s="4" t="n"/>
      <c r="N126" s="4" t="n"/>
      <c r="O126" s="4" t="n"/>
      <c r="P126" s="4" t="n"/>
      <c r="Q126" s="4" t="n"/>
    </row>
    <row r="127">
      <c r="A127" s="4" t="inlineStr">
        <is>
          <t>3 years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inlineStr">
        <is>
          <t>3 years</t>
        </is>
      </c>
      <c r="J127" s="4" t="n"/>
      <c r="K127" s="4" t="n"/>
      <c r="L127" s="4" t="n"/>
      <c r="M127" s="4" t="n"/>
      <c r="N127" s="4" t="n"/>
      <c r="O127" s="4" t="n"/>
      <c r="P127" s="4" t="n"/>
      <c r="Q127" s="4" t="n"/>
    </row>
    <row r="128">
      <c r="A128" s="4" t="inlineStr">
        <is>
          <t>TIMING (seconds)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inlineStr">
        <is>
          <t>Speedup</t>
        </is>
      </c>
      <c r="J128" s="4" t="n"/>
      <c r="K128" s="4" t="n"/>
      <c r="L128" s="4" t="n"/>
      <c r="M128" s="4" t="n"/>
      <c r="N128" s="4" t="n"/>
      <c r="O128" s="4" t="n"/>
      <c r="P128" s="4" t="n"/>
      <c r="Q128" s="4" t="n"/>
    </row>
    <row r="129">
      <c r="A129" s="4" t="n"/>
      <c r="B129" s="5" t="n">
        <v>0.01</v>
      </c>
      <c r="C129" s="5" t="n">
        <v>0.03</v>
      </c>
      <c r="D129" s="5" t="n">
        <v>0.06</v>
      </c>
      <c r="E129" s="4" t="n"/>
      <c r="F129" s="5" t="n"/>
      <c r="G129" s="5" t="n"/>
      <c r="H129" s="4" t="n"/>
      <c r="I129" s="4" t="n"/>
      <c r="J129" s="5" t="n">
        <v>0.01</v>
      </c>
      <c r="K129" s="5" t="n">
        <v>0.03</v>
      </c>
      <c r="L129" s="5" t="n">
        <v>0.06</v>
      </c>
      <c r="M129" s="5" t="n"/>
      <c r="N129" s="5" t="n"/>
      <c r="O129" s="5" t="n">
        <v>0.01</v>
      </c>
      <c r="P129" s="5" t="n">
        <v>0.03</v>
      </c>
      <c r="Q129" s="5" t="n">
        <v>0.06</v>
      </c>
    </row>
    <row r="130">
      <c r="A130" s="4" t="inlineStr">
        <is>
          <t>CPU-16T (Intel Xeon Platinum 8480+)</t>
        </is>
      </c>
      <c r="B130" s="4" t="n">
        <v>242.512</v>
      </c>
      <c r="C130" s="4" t="n">
        <v>742.205</v>
      </c>
      <c r="D130" s="4" t="n"/>
      <c r="E130" s="4" t="n"/>
      <c r="F130" s="4" t="n"/>
      <c r="G130" s="4" t="n"/>
      <c r="H130" s="4" t="n"/>
      <c r="I130" s="4" t="inlineStr">
        <is>
          <t>CPU-Serial</t>
        </is>
      </c>
      <c r="J130" s="4" t="e">
        <v>#DIV/0!</v>
      </c>
      <c r="K130" s="4" t="e">
        <v>#DIV/0!</v>
      </c>
      <c r="L130" s="4" t="e">
        <v>#DIV/0!</v>
      </c>
      <c r="M130" s="4" t="n"/>
      <c r="N130" s="4" t="n"/>
      <c r="O130" s="4" t="n"/>
      <c r="P130" s="4" t="n"/>
      <c r="Q130" s="4" t="n"/>
    </row>
    <row r="131">
      <c r="A131" s="4" t="inlineStr">
        <is>
          <t>GPU-Hopper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inlineStr">
        <is>
          <t>GPU-Hopper</t>
        </is>
      </c>
      <c r="J131" s="4" t="e">
        <v>#DIV/0!</v>
      </c>
      <c r="K131" s="4" t="e">
        <v>#DIV/0!</v>
      </c>
      <c r="L131" s="4" t="e">
        <v>#DIV/0!</v>
      </c>
      <c r="M131" s="4" t="n"/>
      <c r="N131" s="4" t="inlineStr">
        <is>
          <t>GPU-Hopper/MASS-Hopper</t>
        </is>
      </c>
      <c r="O131" s="4" t="e">
        <v>#DIV/0!</v>
      </c>
      <c r="P131" s="4" t="e">
        <v>#DIV/0!</v>
      </c>
      <c r="Q131" s="4" t="e">
        <v>#DIV/0!</v>
      </c>
    </row>
    <row r="132">
      <c r="A132" s="4" t="inlineStr">
        <is>
          <t>MASS-Hopper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inlineStr">
        <is>
          <t>MASS-Hopper</t>
        </is>
      </c>
      <c r="J132" s="4" t="e">
        <v>#DIV/0!</v>
      </c>
      <c r="K132" s="4" t="e">
        <v>#DIV/0!</v>
      </c>
      <c r="L132" s="4" t="e">
        <v>#DIV/0!</v>
      </c>
      <c r="M132" s="4" t="n"/>
      <c r="N132" s="4" t="n"/>
      <c r="O132" s="4" t="n"/>
      <c r="P132" s="4" t="n"/>
      <c r="Q132" s="4" t="n"/>
    </row>
    <row r="133"/>
    <row r="134">
      <c r="A134" s="4" t="inlineStr">
        <is>
          <t>twt</t>
        </is>
      </c>
    </row>
    <row r="135">
      <c r="A135" s="4" t="n"/>
      <c r="B135" s="4" t="inlineStr">
        <is>
          <t>p=0.01%</t>
        </is>
      </c>
      <c r="C135" s="4" t="n"/>
      <c r="D135" s="4" t="n"/>
      <c r="E135" s="4" t="n"/>
      <c r="F135" s="4" t="n"/>
      <c r="G135" s="4" t="n"/>
      <c r="H135" s="4" t="n"/>
      <c r="I135" s="4" t="inlineStr">
        <is>
          <t>ER-p</t>
        </is>
      </c>
      <c r="J135" s="4" t="inlineStr">
        <is>
          <t>p=0.01%</t>
        </is>
      </c>
      <c r="K135" s="4" t="n"/>
      <c r="L135" s="4" t="n"/>
      <c r="M135" s="4" t="n"/>
      <c r="N135" s="4" t="n"/>
      <c r="O135" s="4" t="n"/>
      <c r="P135" s="4" t="n"/>
      <c r="Q135" s="4" t="n"/>
    </row>
    <row r="136">
      <c r="A136" s="4" t="inlineStr">
        <is>
          <t xml:space="preserve">3 years 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inlineStr">
        <is>
          <t xml:space="preserve">3 years </t>
        </is>
      </c>
      <c r="J136" s="4" t="n"/>
      <c r="K136" s="4" t="n"/>
      <c r="L136" s="4" t="n"/>
      <c r="M136" s="4" t="n"/>
      <c r="N136" s="4" t="n"/>
      <c r="O136" s="4" t="n"/>
      <c r="P136" s="4" t="n"/>
      <c r="Q136" s="4" t="n"/>
    </row>
    <row r="137">
      <c r="A137" s="4" t="inlineStr">
        <is>
          <t>TIMING (seconds)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inlineStr">
        <is>
          <t>Speedup</t>
        </is>
      </c>
      <c r="J137" s="4" t="n"/>
      <c r="K137" s="4" t="n"/>
      <c r="L137" s="4" t="n"/>
      <c r="M137" s="4" t="n"/>
      <c r="N137" s="4" t="n"/>
      <c r="O137" s="4" t="n"/>
      <c r="P137" s="4" t="n"/>
      <c r="Q137" s="4" t="n"/>
    </row>
    <row r="138">
      <c r="A138" s="4" t="n"/>
      <c r="B138" s="5" t="n">
        <v>0.01</v>
      </c>
      <c r="C138" s="5" t="n">
        <v>0.03</v>
      </c>
      <c r="D138" s="5" t="n">
        <v>0.06</v>
      </c>
      <c r="E138" s="4" t="n"/>
      <c r="F138" s="5" t="n"/>
      <c r="G138" s="5" t="n"/>
      <c r="H138" s="4" t="n"/>
      <c r="I138" s="4" t="n"/>
      <c r="J138" s="5" t="n">
        <v>0.01</v>
      </c>
      <c r="K138" s="5" t="n">
        <v>0.03</v>
      </c>
      <c r="L138" s="5" t="n">
        <v>0.06</v>
      </c>
      <c r="M138" s="5" t="n"/>
      <c r="N138" s="5" t="n"/>
      <c r="O138" s="5" t="n">
        <v>0.01</v>
      </c>
      <c r="P138" s="5" t="n">
        <v>0.03</v>
      </c>
      <c r="Q138" s="5" t="n">
        <v>0.06</v>
      </c>
    </row>
    <row r="139">
      <c r="A139" s="4" t="inlineStr">
        <is>
          <t>CPU-16T (Intel Xeon Platinum 8480+)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inlineStr">
        <is>
          <t>CPU-Serial</t>
        </is>
      </c>
      <c r="J139" s="4" t="e">
        <v>#DIV/0!</v>
      </c>
      <c r="K139" s="4" t="e">
        <v>#DIV/0!</v>
      </c>
      <c r="L139" s="4" t="e">
        <v>#DIV/0!</v>
      </c>
      <c r="M139" s="4" t="n"/>
      <c r="N139" s="4" t="n"/>
      <c r="O139" s="4" t="n"/>
      <c r="P139" s="4" t="n"/>
      <c r="Q139" s="4" t="n"/>
    </row>
    <row r="140">
      <c r="A140" s="4" t="inlineStr">
        <is>
          <t>GPU-Hopper</t>
        </is>
      </c>
      <c r="B140" s="4" t="n">
        <v>4</v>
      </c>
      <c r="C140" s="4" t="n">
        <v>5</v>
      </c>
      <c r="D140" s="4" t="n">
        <v>5</v>
      </c>
      <c r="E140" s="4" t="n"/>
      <c r="F140" s="4" t="n"/>
      <c r="G140" s="4" t="n"/>
      <c r="H140" s="4" t="n"/>
      <c r="I140" s="4" t="inlineStr">
        <is>
          <t>GPU-Hopper</t>
        </is>
      </c>
      <c r="J140" s="4" t="e">
        <v>#DIV/0!</v>
      </c>
      <c r="K140" s="4" t="e">
        <v>#DIV/0!</v>
      </c>
      <c r="L140" s="4" t="e">
        <v>#DIV/0!</v>
      </c>
      <c r="M140" s="4" t="n"/>
      <c r="N140" s="4" t="inlineStr">
        <is>
          <t>GPU-Hopper/MASS-Hopper</t>
        </is>
      </c>
      <c r="O140" s="4" t="e">
        <v>#DIV/0!</v>
      </c>
      <c r="P140" s="4" t="e">
        <v>#DIV/0!</v>
      </c>
      <c r="Q140" s="4" t="e">
        <v>#DIV/0!</v>
      </c>
    </row>
    <row r="141">
      <c r="A141" s="4" t="inlineStr">
        <is>
          <t>MASS-Hopper</t>
        </is>
      </c>
      <c r="B141" s="4" t="n">
        <v>2</v>
      </c>
      <c r="C141" s="4" t="n"/>
      <c r="D141" s="4" t="n"/>
      <c r="E141" s="4" t="n"/>
      <c r="F141" s="4" t="n"/>
      <c r="G141" s="4" t="n"/>
      <c r="H141" s="4" t="n"/>
      <c r="I141" s="4" t="inlineStr">
        <is>
          <t>MASS-Hopper</t>
        </is>
      </c>
      <c r="J141" s="4" t="e">
        <v>#DIV/0!</v>
      </c>
      <c r="K141" s="4" t="e">
        <v>#DIV/0!</v>
      </c>
      <c r="L141" s="4" t="e">
        <v>#DIV/0!</v>
      </c>
      <c r="M141" s="4" t="n"/>
      <c r="N141" s="4" t="n"/>
      <c r="O141" s="4" t="n"/>
      <c r="P141" s="4" t="n"/>
      <c r="Q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>
      <c r="A143" s="4" t="inlineStr">
        <is>
          <t>ER-p</t>
        </is>
      </c>
      <c r="B143" s="4" t="inlineStr">
        <is>
          <t>p=0.03%</t>
        </is>
      </c>
      <c r="C143" s="4" t="n"/>
      <c r="D143" s="4" t="n"/>
      <c r="E143" s="4" t="n"/>
      <c r="F143" s="4" t="n"/>
      <c r="G143" s="4" t="n"/>
      <c r="H143" s="4" t="n"/>
      <c r="I143" s="4" t="inlineStr">
        <is>
          <t>ER-p</t>
        </is>
      </c>
      <c r="J143" s="4" t="inlineStr">
        <is>
          <t>p=0.03%</t>
        </is>
      </c>
      <c r="K143" s="4" t="n"/>
      <c r="L143" s="4" t="n"/>
      <c r="M143" s="4" t="n"/>
      <c r="N143" s="4" t="n"/>
      <c r="O143" s="4" t="n"/>
      <c r="P143" s="4" t="n"/>
      <c r="Q143" s="4" t="n"/>
    </row>
    <row r="144">
      <c r="A144" s="4" t="inlineStr">
        <is>
          <t>3 years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inlineStr">
        <is>
          <t>3 years</t>
        </is>
      </c>
      <c r="J144" s="4" t="n"/>
      <c r="K144" s="4" t="n"/>
      <c r="L144" s="4" t="n"/>
      <c r="M144" s="4" t="n"/>
      <c r="N144" s="4" t="n"/>
      <c r="O144" s="4" t="n"/>
      <c r="P144" s="4" t="n"/>
      <c r="Q144" s="4" t="n"/>
    </row>
    <row r="145">
      <c r="A145" s="4" t="inlineStr">
        <is>
          <t>TIMING (seconds)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inlineStr">
        <is>
          <t>Speedup</t>
        </is>
      </c>
      <c r="J145" s="4" t="n"/>
      <c r="K145" s="4" t="n"/>
      <c r="L145" s="4" t="n"/>
      <c r="M145" s="4" t="n"/>
      <c r="N145" s="4" t="n"/>
      <c r="O145" s="4" t="n"/>
      <c r="P145" s="4" t="n"/>
      <c r="Q145" s="4" t="n"/>
    </row>
    <row r="146">
      <c r="A146" s="4" t="n"/>
      <c r="B146" s="5" t="n">
        <v>0.01</v>
      </c>
      <c r="C146" s="5" t="n">
        <v>0.03</v>
      </c>
      <c r="D146" s="5" t="n">
        <v>0.06</v>
      </c>
      <c r="E146" s="4" t="n"/>
      <c r="F146" s="5" t="n"/>
      <c r="G146" s="5" t="n"/>
      <c r="H146" s="4" t="n"/>
      <c r="I146" s="4" t="n"/>
      <c r="J146" s="5" t="n">
        <v>0.01</v>
      </c>
      <c r="K146" s="5" t="n">
        <v>0.03</v>
      </c>
      <c r="L146" s="5" t="n">
        <v>0.06</v>
      </c>
      <c r="M146" s="4" t="n"/>
      <c r="N146" s="5" t="n"/>
      <c r="O146" s="5" t="n">
        <v>0.01</v>
      </c>
      <c r="P146" s="5" t="n">
        <v>0.03</v>
      </c>
      <c r="Q146" s="5" t="n">
        <v>0.06</v>
      </c>
    </row>
    <row r="147">
      <c r="A147" s="4" t="inlineStr">
        <is>
          <t>CPU-16T (Intel Xeon Platinum 8480+)</t>
        </is>
      </c>
      <c r="B147" s="4" t="n">
        <v>6.389</v>
      </c>
      <c r="C147" s="4" t="n">
        <v>7.659</v>
      </c>
      <c r="D147" s="4" t="n">
        <v>9.654</v>
      </c>
      <c r="E147" s="4" t="n"/>
      <c r="F147" s="4" t="n"/>
      <c r="G147" s="4" t="n"/>
      <c r="H147" s="4" t="n"/>
      <c r="I147" s="4" t="inlineStr">
        <is>
          <t>CPU-Serial</t>
        </is>
      </c>
      <c r="J147" s="4" t="e">
        <v>#DIV/0!</v>
      </c>
      <c r="K147" s="4" t="e">
        <v>#DIV/0!</v>
      </c>
      <c r="L147" s="4" t="e">
        <v>#DIV/0!</v>
      </c>
      <c r="M147" s="4" t="n"/>
      <c r="N147" s="4" t="n"/>
      <c r="O147" s="4" t="n"/>
      <c r="P147" s="4" t="n"/>
      <c r="Q147" s="4" t="n"/>
    </row>
    <row r="148">
      <c r="A148" s="4" t="inlineStr">
        <is>
          <t>GPU-Hopper</t>
        </is>
      </c>
      <c r="B148" s="4" t="n">
        <v>5</v>
      </c>
      <c r="C148" s="4" t="n">
        <v>5</v>
      </c>
      <c r="D148" s="4" t="n">
        <v>6</v>
      </c>
      <c r="E148" s="4" t="n"/>
      <c r="F148" s="4" t="n"/>
      <c r="G148" s="4" t="n"/>
      <c r="H148" s="4" t="n"/>
      <c r="I148" s="4" t="inlineStr">
        <is>
          <t>GPU-Hopper</t>
        </is>
      </c>
      <c r="J148" s="4" t="e">
        <v>#DIV/0!</v>
      </c>
      <c r="K148" s="4" t="e">
        <v>#DIV/0!</v>
      </c>
      <c r="L148" s="4" t="e">
        <v>#DIV/0!</v>
      </c>
      <c r="M148" s="4" t="n"/>
      <c r="N148" s="4" t="inlineStr">
        <is>
          <t>GPU-Hopper/MASS-Hopper</t>
        </is>
      </c>
      <c r="O148" s="4" t="e">
        <v>#DIV/0!</v>
      </c>
      <c r="P148" s="4" t="e">
        <v>#DIV/0!</v>
      </c>
      <c r="Q148" s="4" t="e">
        <v>#DIV/0!</v>
      </c>
    </row>
    <row r="149">
      <c r="A149" s="4" t="inlineStr">
        <is>
          <t>MASS-Hopper</t>
        </is>
      </c>
      <c r="B149" s="4" t="n">
        <v>3</v>
      </c>
      <c r="C149" s="4" t="n"/>
      <c r="D149" s="4" t="n"/>
      <c r="E149" s="4" t="n"/>
      <c r="F149" s="4" t="n"/>
      <c r="G149" s="4" t="n"/>
      <c r="H149" s="4" t="n"/>
      <c r="I149" s="4" t="inlineStr">
        <is>
          <t>MASS-Hopper</t>
        </is>
      </c>
      <c r="J149" s="4" t="e">
        <v>#DIV/0!</v>
      </c>
      <c r="K149" s="4" t="e">
        <v>#DIV/0!</v>
      </c>
      <c r="L149" s="4" t="e">
        <v>#DIV/0!</v>
      </c>
      <c r="M149" s="4" t="n"/>
      <c r="N149" s="4" t="n"/>
      <c r="O149" s="4" t="n"/>
      <c r="P149" s="4" t="n"/>
      <c r="Q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</row>
    <row r="151">
      <c r="A151" s="4" t="inlineStr">
        <is>
          <t>ER-p</t>
        </is>
      </c>
      <c r="B151" s="4" t="inlineStr">
        <is>
          <t>p=0.05%</t>
        </is>
      </c>
      <c r="C151" s="4" t="n"/>
      <c r="D151" s="4" t="n"/>
      <c r="E151" s="4" t="n"/>
      <c r="F151" s="4" t="n"/>
      <c r="G151" s="4" t="n"/>
      <c r="H151" s="4" t="n"/>
      <c r="I151" s="4" t="inlineStr">
        <is>
          <t>ER-p</t>
        </is>
      </c>
      <c r="J151" s="4" t="inlineStr">
        <is>
          <t>p=0.05%</t>
        </is>
      </c>
      <c r="K151" s="4" t="n"/>
      <c r="L151" s="4" t="n"/>
      <c r="M151" s="4" t="n"/>
      <c r="N151" s="4" t="n"/>
      <c r="O151" s="4" t="n"/>
      <c r="P151" s="4" t="n"/>
      <c r="Q151" s="4" t="n"/>
    </row>
    <row r="152">
      <c r="A152" s="4" t="inlineStr">
        <is>
          <t xml:space="preserve">3 years 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inlineStr">
        <is>
          <t xml:space="preserve">3 years </t>
        </is>
      </c>
      <c r="J152" s="4" t="n"/>
      <c r="K152" s="4" t="n"/>
      <c r="L152" s="4" t="n"/>
      <c r="M152" s="4" t="n"/>
      <c r="N152" s="4" t="n"/>
      <c r="O152" s="4" t="n"/>
      <c r="P152" s="4" t="n"/>
      <c r="Q152" s="4" t="n"/>
    </row>
    <row r="153">
      <c r="A153" s="4" t="inlineStr">
        <is>
          <t>TIMING (seconds)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inlineStr">
        <is>
          <t>Speedup</t>
        </is>
      </c>
      <c r="J153" s="4" t="n"/>
      <c r="K153" s="4" t="n"/>
      <c r="L153" s="4" t="n"/>
      <c r="M153" s="5" t="n"/>
      <c r="N153" s="5" t="n"/>
      <c r="O153" s="5" t="n"/>
      <c r="P153" s="5" t="n"/>
      <c r="Q153" s="5" t="n"/>
    </row>
    <row r="154">
      <c r="A154" s="4" t="n"/>
      <c r="B154" s="5" t="n">
        <v>0.01</v>
      </c>
      <c r="C154" s="5" t="n">
        <v>0.03</v>
      </c>
      <c r="D154" s="5" t="n">
        <v>0.06</v>
      </c>
      <c r="E154" s="4" t="n"/>
      <c r="F154" s="5" t="n"/>
      <c r="G154" s="5" t="n"/>
      <c r="H154" s="4" t="n"/>
      <c r="I154" s="4" t="n"/>
      <c r="J154" s="5" t="n">
        <v>0.01</v>
      </c>
      <c r="K154" s="5" t="n">
        <v>0.03</v>
      </c>
      <c r="L154" s="5" t="n">
        <v>0.06</v>
      </c>
      <c r="M154" s="4" t="n"/>
      <c r="N154" s="5" t="n"/>
      <c r="O154" s="5" t="n">
        <v>0.01</v>
      </c>
      <c r="P154" s="5" t="n">
        <v>0.03</v>
      </c>
      <c r="Q154" s="5" t="n">
        <v>0.06</v>
      </c>
    </row>
    <row r="155">
      <c r="A155" s="4" t="inlineStr">
        <is>
          <t>CPU-16T (Intel Xeon Platinum 8480+)</t>
        </is>
      </c>
      <c r="B155" s="4" t="n">
        <v>5.986</v>
      </c>
      <c r="C155" s="4" t="n">
        <v>6.913</v>
      </c>
      <c r="D155" s="4" t="n">
        <v>8.989000000000001</v>
      </c>
      <c r="E155" s="4" t="n"/>
      <c r="F155" s="4" t="n"/>
      <c r="G155" s="4" t="n"/>
      <c r="H155" s="4" t="n"/>
      <c r="I155" s="4" t="inlineStr">
        <is>
          <t>CPU-Serial</t>
        </is>
      </c>
      <c r="J155" s="4" t="e">
        <v>#DIV/0!</v>
      </c>
      <c r="K155" s="4" t="e">
        <v>#DIV/0!</v>
      </c>
      <c r="L155" s="4" t="e">
        <v>#DIV/0!</v>
      </c>
      <c r="M155" s="4" t="n"/>
      <c r="N155" s="4" t="n"/>
      <c r="O155" s="4" t="n"/>
      <c r="P155" s="4" t="n"/>
      <c r="Q155" s="4" t="n"/>
    </row>
    <row r="156">
      <c r="A156" s="4" t="inlineStr">
        <is>
          <t>GPU-Hopper</t>
        </is>
      </c>
      <c r="B156" s="4" t="n">
        <v>4</v>
      </c>
      <c r="C156" s="4" t="n">
        <v>5</v>
      </c>
      <c r="D156" s="4" t="n">
        <v>6</v>
      </c>
      <c r="E156" s="4" t="n"/>
      <c r="F156" s="4" t="n"/>
      <c r="G156" s="4" t="n"/>
      <c r="H156" s="4" t="n"/>
      <c r="I156" s="4" t="inlineStr">
        <is>
          <t>GPU-Hopper</t>
        </is>
      </c>
      <c r="J156" s="4" t="e">
        <v>#DIV/0!</v>
      </c>
      <c r="K156" s="4" t="e">
        <v>#DIV/0!</v>
      </c>
      <c r="L156" s="4" t="e">
        <v>#DIV/0!</v>
      </c>
      <c r="M156" s="4" t="n"/>
      <c r="N156" s="4" t="inlineStr">
        <is>
          <t>GPU-Hopper/MASS-Hopper</t>
        </is>
      </c>
      <c r="O156" s="4" t="e">
        <v>#DIV/0!</v>
      </c>
      <c r="P156" s="4" t="e">
        <v>#DIV/0!</v>
      </c>
      <c r="Q156" s="4" t="e">
        <v>#DIV/0!</v>
      </c>
    </row>
    <row r="157">
      <c r="A157" s="4" t="inlineStr">
        <is>
          <t>MASS-Hopper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inlineStr">
        <is>
          <t>MASS-Hopper</t>
        </is>
      </c>
      <c r="J157" s="4" t="e">
        <v>#DIV/0!</v>
      </c>
      <c r="K157" s="4" t="e">
        <v>#DIV/0!</v>
      </c>
      <c r="L157" s="4" t="e">
        <v>#DIV/0!</v>
      </c>
      <c r="M157" s="4" t="n"/>
      <c r="N157" s="4" t="n"/>
      <c r="O157" s="4" t="n"/>
      <c r="P157" s="4" t="n"/>
      <c r="Q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</row>
    <row r="159">
      <c r="A159" s="4" t="inlineStr">
        <is>
          <t>ER-p</t>
        </is>
      </c>
      <c r="B159" s="4" t="inlineStr">
        <is>
          <t>p=0.1%</t>
        </is>
      </c>
      <c r="C159" s="4" t="n"/>
      <c r="D159" s="4" t="n"/>
      <c r="E159" s="4" t="n"/>
      <c r="F159" s="4" t="n"/>
      <c r="G159" s="4" t="n"/>
      <c r="H159" s="4" t="n"/>
      <c r="I159" s="4" t="inlineStr">
        <is>
          <t>ER-p</t>
        </is>
      </c>
      <c r="J159" s="4" t="inlineStr">
        <is>
          <t>p=0.1%</t>
        </is>
      </c>
      <c r="K159" s="4" t="n"/>
      <c r="L159" s="4" t="n"/>
      <c r="M159" s="4" t="n"/>
      <c r="N159" s="4" t="n"/>
      <c r="O159" s="4" t="n"/>
      <c r="P159" s="4" t="n"/>
      <c r="Q159" s="4" t="n"/>
    </row>
    <row r="160">
      <c r="A160" s="4" t="inlineStr">
        <is>
          <t>3 years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inlineStr">
        <is>
          <t>3 years</t>
        </is>
      </c>
      <c r="J160" s="4" t="n"/>
      <c r="K160" s="4" t="n"/>
      <c r="L160" s="4" t="n"/>
      <c r="M160" s="4" t="n"/>
      <c r="N160" s="4" t="n"/>
      <c r="O160" s="4" t="n"/>
      <c r="P160" s="4" t="n"/>
      <c r="Q160" s="4" t="n"/>
    </row>
    <row r="161">
      <c r="A161" s="4" t="inlineStr">
        <is>
          <t>TIMING (seconds)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inlineStr">
        <is>
          <t>Speedup</t>
        </is>
      </c>
      <c r="J161" s="4" t="n"/>
      <c r="K161" s="4" t="n"/>
      <c r="L161" s="4" t="n"/>
      <c r="M161" s="4" t="n"/>
      <c r="N161" s="4" t="n"/>
      <c r="O161" s="4" t="n"/>
      <c r="P161" s="4" t="n"/>
      <c r="Q161" s="4" t="n"/>
    </row>
    <row r="162">
      <c r="A162" s="4" t="n"/>
      <c r="B162" s="5" t="n">
        <v>0.01</v>
      </c>
      <c r="C162" s="5" t="n">
        <v>0.03</v>
      </c>
      <c r="D162" s="5" t="n">
        <v>0.06</v>
      </c>
      <c r="E162" s="4" t="n"/>
      <c r="F162" s="5" t="n"/>
      <c r="G162" s="5" t="n"/>
      <c r="H162" s="4" t="n"/>
      <c r="I162" s="4" t="n"/>
      <c r="J162" s="5" t="n">
        <v>0.01</v>
      </c>
      <c r="K162" s="5" t="n">
        <v>0.03</v>
      </c>
      <c r="L162" s="5" t="n">
        <v>0.06</v>
      </c>
      <c r="M162" s="5" t="n"/>
      <c r="N162" s="5" t="n"/>
      <c r="O162" s="5" t="n">
        <v>0.01</v>
      </c>
      <c r="P162" s="5" t="n">
        <v>0.03</v>
      </c>
      <c r="Q162" s="5" t="n">
        <v>0.06</v>
      </c>
    </row>
    <row r="163">
      <c r="A163" s="4" t="inlineStr">
        <is>
          <t>CPU-16T (Intel Xeon Platinum 8480+)</t>
        </is>
      </c>
      <c r="B163" s="4" t="n">
        <v>6.503</v>
      </c>
      <c r="C163" s="4" t="n">
        <v>8.132</v>
      </c>
      <c r="D163" s="4" t="n">
        <v>12.996</v>
      </c>
      <c r="E163" s="4" t="n"/>
      <c r="F163" s="4" t="n"/>
      <c r="G163" s="4" t="n"/>
      <c r="H163" s="4" t="n"/>
      <c r="I163" s="4" t="inlineStr">
        <is>
          <t>CPU-Serial</t>
        </is>
      </c>
      <c r="J163" s="4" t="e">
        <v>#DIV/0!</v>
      </c>
      <c r="K163" s="4" t="e">
        <v>#DIV/0!</v>
      </c>
      <c r="L163" s="4" t="e">
        <v>#DIV/0!</v>
      </c>
      <c r="M163" s="4" t="n"/>
      <c r="N163" s="4" t="n"/>
      <c r="O163" s="4" t="n"/>
      <c r="P163" s="4" t="n"/>
      <c r="Q163" s="4" t="n"/>
    </row>
    <row r="164">
      <c r="A164" s="4" t="inlineStr">
        <is>
          <t>GPU-Hopper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inlineStr">
        <is>
          <t>GPU-Hopper</t>
        </is>
      </c>
      <c r="J164" s="4" t="e">
        <v>#DIV/0!</v>
      </c>
      <c r="K164" s="4" t="e">
        <v>#DIV/0!</v>
      </c>
      <c r="L164" s="4" t="e">
        <v>#DIV/0!</v>
      </c>
      <c r="M164" s="4" t="n"/>
      <c r="N164" s="4" t="inlineStr">
        <is>
          <t>GPU-Hopper/MASS-Hopper</t>
        </is>
      </c>
      <c r="O164" s="4" t="e">
        <v>#DIV/0!</v>
      </c>
      <c r="P164" s="4" t="e">
        <v>#DIV/0!</v>
      </c>
      <c r="Q164" s="4" t="e">
        <v>#DIV/0!</v>
      </c>
    </row>
    <row r="165">
      <c r="A165" s="4" t="inlineStr">
        <is>
          <t>MASS-Hopper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inlineStr">
        <is>
          <t>MASS-Hopper</t>
        </is>
      </c>
      <c r="J165" s="4" t="e">
        <v>#DIV/0!</v>
      </c>
      <c r="K165" s="4" t="e">
        <v>#DIV/0!</v>
      </c>
      <c r="L165" s="4" t="e">
        <v>#DIV/0!</v>
      </c>
      <c r="M165" s="4" t="n"/>
      <c r="N165" s="4" t="n"/>
      <c r="O165" s="4" t="n"/>
      <c r="P165" s="4" t="n"/>
      <c r="Q165" s="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5"/>
  <sheetViews>
    <sheetView zoomScaleNormal="100" workbookViewId="0">
      <selection activeCell="L22" sqref="L22"/>
    </sheetView>
  </sheetViews>
  <sheetFormatPr baseColWidth="10" defaultRowHeight="16"/>
  <cols>
    <col width="26.6640625" customWidth="1" min="1" max="1"/>
    <col width="21.33203125" customWidth="1" min="9" max="9"/>
    <col width="25.1640625" customWidth="1" min="14" max="14"/>
  </cols>
  <sheetData>
    <row r="1">
      <c r="A1" t="inlineStr">
        <is>
          <t>ER-p</t>
        </is>
      </c>
    </row>
    <row r="2">
      <c r="A2" t="inlineStr">
        <is>
          <t>SJ</t>
        </is>
      </c>
    </row>
    <row r="3">
      <c r="B3" t="inlineStr">
        <is>
          <t>p=0.01%</t>
        </is>
      </c>
      <c r="I3" t="inlineStr">
        <is>
          <t>ER-p</t>
        </is>
      </c>
      <c r="J3" t="inlineStr">
        <is>
          <t>p=0.01%</t>
        </is>
      </c>
    </row>
    <row r="4">
      <c r="A4" t="inlineStr">
        <is>
          <t>10 years</t>
        </is>
      </c>
      <c r="I4" t="inlineStr">
        <is>
          <t>10 years</t>
        </is>
      </c>
    </row>
    <row r="5">
      <c r="A5" t="inlineStr">
        <is>
          <t>TIMING (seconds)</t>
        </is>
      </c>
      <c r="I5" t="inlineStr">
        <is>
          <t>Speedup</t>
        </is>
      </c>
    </row>
    <row r="6">
      <c r="B6" s="2" t="n">
        <v>0.01</v>
      </c>
      <c r="C6" s="2" t="n">
        <v>0.03</v>
      </c>
      <c r="D6" s="2" t="n">
        <v>0.06</v>
      </c>
      <c r="F6" s="2" t="n"/>
      <c r="G6" s="2" t="n"/>
      <c r="J6" s="2" t="n">
        <v>0.01</v>
      </c>
      <c r="K6" s="2" t="n">
        <v>0.03</v>
      </c>
      <c r="L6" s="2" t="n">
        <v>0.06</v>
      </c>
      <c r="M6" s="2" t="n"/>
      <c r="N6" s="2" t="n"/>
      <c r="O6" s="2" t="n">
        <v>0.01</v>
      </c>
      <c r="P6" s="2" t="n">
        <v>0.03</v>
      </c>
      <c r="Q6" s="2" t="n">
        <v>0.06</v>
      </c>
    </row>
    <row r="7">
      <c r="A7" t="inlineStr">
        <is>
          <t>CPU-16T (Intel Xeon Platinum 8480+)</t>
        </is>
      </c>
      <c r="B7" t="n">
        <v>32.238</v>
      </c>
      <c r="C7" t="n">
        <v>123.43</v>
      </c>
      <c r="D7" t="n">
        <v>270.995</v>
      </c>
      <c r="I7" t="inlineStr">
        <is>
          <t>CPU-Serial</t>
        </is>
      </c>
      <c r="J7">
        <f>B$7/B7</f>
        <v/>
      </c>
      <c r="K7">
        <f>C$7/C7</f>
        <v/>
      </c>
      <c r="L7">
        <f>D$7/D7</f>
        <v/>
      </c>
    </row>
    <row r="8">
      <c r="A8" t="inlineStr">
        <is>
          <t>GPU-Hopper</t>
        </is>
      </c>
      <c r="B8" t="n">
        <v>6</v>
      </c>
      <c r="C8" t="n">
        <v>6</v>
      </c>
      <c r="D8" t="n">
        <v>10</v>
      </c>
      <c r="I8" t="inlineStr">
        <is>
          <t>GPU-Hopper</t>
        </is>
      </c>
      <c r="J8">
        <f>B$7/B8</f>
        <v/>
      </c>
      <c r="K8">
        <f>C$7/C8</f>
        <v/>
      </c>
      <c r="L8">
        <f>D$7/D8</f>
        <v/>
      </c>
      <c r="N8" t="inlineStr">
        <is>
          <t>GPU-Hopper/MASS-Hopper</t>
        </is>
      </c>
      <c r="O8">
        <f>J8/J9</f>
        <v/>
      </c>
      <c r="P8">
        <f>K8/K9</f>
        <v/>
      </c>
      <c r="Q8">
        <f>L8/L9</f>
        <v/>
      </c>
    </row>
    <row r="9">
      <c r="A9" t="inlineStr">
        <is>
          <t>MASS-Hopper</t>
        </is>
      </c>
      <c r="B9" t="n">
        <v>22</v>
      </c>
      <c r="I9" t="inlineStr">
        <is>
          <t>MASS-Hopper</t>
        </is>
      </c>
      <c r="J9">
        <f>B$7/B9</f>
        <v/>
      </c>
      <c r="K9">
        <f>C$7/C9</f>
        <v/>
      </c>
      <c r="L9">
        <f>D$7/D9</f>
        <v/>
      </c>
    </row>
    <row r="10"/>
    <row r="11">
      <c r="A11" t="inlineStr">
        <is>
          <t>ER-p</t>
        </is>
      </c>
      <c r="B11" t="inlineStr">
        <is>
          <t>p=0.03%</t>
        </is>
      </c>
      <c r="I11" t="inlineStr">
        <is>
          <t>ER-p</t>
        </is>
      </c>
      <c r="J11" t="inlineStr">
        <is>
          <t>p=0.03%</t>
        </is>
      </c>
    </row>
    <row r="12">
      <c r="A12" t="inlineStr">
        <is>
          <t>3 years</t>
        </is>
      </c>
      <c r="I12" t="inlineStr">
        <is>
          <t>3 years</t>
        </is>
      </c>
    </row>
    <row r="13">
      <c r="A13" t="inlineStr">
        <is>
          <t>TIMING (seconds)</t>
        </is>
      </c>
      <c r="I13" t="inlineStr">
        <is>
          <t>Speedup</t>
        </is>
      </c>
    </row>
    <row r="14">
      <c r="B14" s="2" t="n">
        <v>0.01</v>
      </c>
      <c r="C14" s="2" t="n">
        <v>0.03</v>
      </c>
      <c r="D14" s="2" t="n">
        <v>0.06</v>
      </c>
      <c r="F14" s="2" t="n"/>
      <c r="G14" s="2" t="n"/>
      <c r="J14" s="2" t="n">
        <v>0.01</v>
      </c>
      <c r="K14" s="2" t="n">
        <v>0.03</v>
      </c>
      <c r="L14" s="2" t="n">
        <v>0.06</v>
      </c>
      <c r="N14" s="2" t="n"/>
      <c r="O14" s="2" t="n">
        <v>0.01</v>
      </c>
      <c r="P14" s="2" t="n">
        <v>0.03</v>
      </c>
      <c r="Q14" s="2" t="n">
        <v>0.06</v>
      </c>
    </row>
    <row r="15">
      <c r="A15" t="inlineStr">
        <is>
          <t>CPU-16T (Intel Xeon Platinum 8480+)</t>
        </is>
      </c>
      <c r="B15" t="n">
        <v>57.021</v>
      </c>
      <c r="C15" t="n">
        <v>197.291</v>
      </c>
      <c r="D15" t="n">
        <v>538.202</v>
      </c>
      <c r="I15" t="inlineStr">
        <is>
          <t>CPU-Serial</t>
        </is>
      </c>
      <c r="J15">
        <f>B$15/B15</f>
        <v/>
      </c>
      <c r="K15">
        <f>C$15/C15</f>
        <v/>
      </c>
      <c r="L15">
        <f>D$15/D15</f>
        <v/>
      </c>
    </row>
    <row r="16">
      <c r="A16" t="inlineStr">
        <is>
          <t>GPU-Hopper</t>
        </is>
      </c>
      <c r="B16" t="n">
        <v>7</v>
      </c>
      <c r="C16" t="n">
        <v>8</v>
      </c>
      <c r="D16" t="n">
        <v>11</v>
      </c>
      <c r="I16" t="inlineStr">
        <is>
          <t>GPU-Hopper</t>
        </is>
      </c>
      <c r="J16">
        <f>B$15/B16</f>
        <v/>
      </c>
      <c r="K16">
        <f>C$15/C16</f>
        <v/>
      </c>
      <c r="L16">
        <f>D$15/D16</f>
        <v/>
      </c>
      <c r="N16" t="inlineStr">
        <is>
          <t>GPU-Hopper/MASS-Hopper</t>
        </is>
      </c>
      <c r="O16">
        <f>J16/J17</f>
        <v/>
      </c>
      <c r="P16">
        <f>K16/K17</f>
        <v/>
      </c>
      <c r="Q16">
        <f>L16/L17</f>
        <v/>
      </c>
    </row>
    <row r="17">
      <c r="A17" t="inlineStr">
        <is>
          <t>MASS-Hopper</t>
        </is>
      </c>
      <c r="B17" t="n">
        <v>46</v>
      </c>
      <c r="I17" t="inlineStr">
        <is>
          <t>MASS-Hopper</t>
        </is>
      </c>
      <c r="J17">
        <f>B$15/B17</f>
        <v/>
      </c>
      <c r="K17">
        <f>C$15/C17</f>
        <v/>
      </c>
      <c r="L17">
        <f>D$15/D17</f>
        <v/>
      </c>
    </row>
    <row r="18"/>
    <row r="19">
      <c r="A19" t="inlineStr">
        <is>
          <t>ER-p</t>
        </is>
      </c>
      <c r="B19" t="inlineStr">
        <is>
          <t>p=0.05%</t>
        </is>
      </c>
      <c r="I19" t="inlineStr">
        <is>
          <t>ER-p</t>
        </is>
      </c>
      <c r="J19" t="inlineStr">
        <is>
          <t>p=0.05%</t>
        </is>
      </c>
    </row>
    <row r="20">
      <c r="A20" t="inlineStr">
        <is>
          <t>10 years</t>
        </is>
      </c>
      <c r="I20" t="inlineStr">
        <is>
          <t>10 years</t>
        </is>
      </c>
    </row>
    <row r="21">
      <c r="A21" t="inlineStr">
        <is>
          <t>TIMING (seconds)</t>
        </is>
      </c>
      <c r="I21" t="inlineStr">
        <is>
          <t>Speedup</t>
        </is>
      </c>
      <c r="M21" s="2" t="n"/>
      <c r="N21" s="2" t="n"/>
      <c r="O21" s="2" t="n"/>
      <c r="P21" s="2" t="n"/>
      <c r="Q21" s="2" t="n"/>
    </row>
    <row r="22">
      <c r="B22" s="2" t="n">
        <v>0.01</v>
      </c>
      <c r="C22" s="2" t="n">
        <v>0.03</v>
      </c>
      <c r="D22" s="2" t="n">
        <v>0.06</v>
      </c>
      <c r="F22" s="2" t="n"/>
      <c r="G22" s="2" t="n"/>
      <c r="J22" s="2" t="n">
        <v>0.01</v>
      </c>
      <c r="K22" s="2" t="n">
        <v>0.03</v>
      </c>
      <c r="L22" s="2" t="n">
        <v>0.06</v>
      </c>
      <c r="N22" s="2" t="n"/>
      <c r="O22" s="2" t="n">
        <v>0.01</v>
      </c>
      <c r="P22" s="2" t="n">
        <v>0.03</v>
      </c>
      <c r="Q22" s="2" t="n">
        <v>0.06</v>
      </c>
    </row>
    <row r="23">
      <c r="A23" t="inlineStr">
        <is>
          <t>CPU-16T (Intel Xeon Platinum 8480+)</t>
        </is>
      </c>
      <c r="B23" t="n">
        <v>80.371</v>
      </c>
      <c r="C23" t="n">
        <v>293.186</v>
      </c>
      <c r="D23" t="n">
        <v>868.668</v>
      </c>
      <c r="I23" t="inlineStr">
        <is>
          <t>CPU-Serial</t>
        </is>
      </c>
      <c r="J23">
        <f>B$23/B23</f>
        <v/>
      </c>
      <c r="K23">
        <f>C$23/C23</f>
        <v/>
      </c>
      <c r="L23">
        <f>D$23/D23</f>
        <v/>
      </c>
    </row>
    <row r="24">
      <c r="A24" t="inlineStr">
        <is>
          <t>GPU-Hopper</t>
        </is>
      </c>
      <c r="B24" t="n">
        <v>6</v>
      </c>
      <c r="C24" t="n">
        <v>8</v>
      </c>
      <c r="D24" t="n">
        <v>12</v>
      </c>
      <c r="I24" t="inlineStr">
        <is>
          <t>GPU-Hopper</t>
        </is>
      </c>
      <c r="J24">
        <f>B$23/B24</f>
        <v/>
      </c>
      <c r="K24">
        <f>C$23/C24</f>
        <v/>
      </c>
      <c r="L24">
        <f>D$23/D24</f>
        <v/>
      </c>
      <c r="N24" t="inlineStr">
        <is>
          <t>GPU-Hopper/MASS-Hopper</t>
        </is>
      </c>
      <c r="O24">
        <f>J24/J25</f>
        <v/>
      </c>
      <c r="P24">
        <f>K24/K25</f>
        <v/>
      </c>
      <c r="Q24">
        <f>L24/L25</f>
        <v/>
      </c>
    </row>
    <row r="25">
      <c r="A25" t="inlineStr">
        <is>
          <t>MASS-Hopper</t>
        </is>
      </c>
      <c r="I25" t="inlineStr">
        <is>
          <t>MASS-Hopper</t>
        </is>
      </c>
      <c r="J25">
        <f>B$23/B25</f>
        <v/>
      </c>
      <c r="K25">
        <f>C$23/C25</f>
        <v/>
      </c>
      <c r="L25">
        <f>D$23/D25</f>
        <v/>
      </c>
    </row>
    <row r="26"/>
    <row r="27">
      <c r="A27" t="inlineStr">
        <is>
          <t>ER-p</t>
        </is>
      </c>
      <c r="B27" t="inlineStr">
        <is>
          <t>p=0.1%</t>
        </is>
      </c>
      <c r="I27" t="inlineStr">
        <is>
          <t>ER-p</t>
        </is>
      </c>
      <c r="J27" t="inlineStr">
        <is>
          <t>p=0.1%</t>
        </is>
      </c>
    </row>
    <row r="28">
      <c r="A28" t="inlineStr">
        <is>
          <t>3 years</t>
        </is>
      </c>
      <c r="I28" t="inlineStr">
        <is>
          <t>3 years</t>
        </is>
      </c>
    </row>
    <row r="29">
      <c r="A29" t="inlineStr">
        <is>
          <t>TIMING (seconds)</t>
        </is>
      </c>
      <c r="I29" t="inlineStr">
        <is>
          <t>Speedup</t>
        </is>
      </c>
    </row>
    <row r="30">
      <c r="B30" s="2" t="n">
        <v>0.01</v>
      </c>
      <c r="C30" s="2" t="n">
        <v>0.03</v>
      </c>
      <c r="D30" s="2" t="n">
        <v>0.06</v>
      </c>
      <c r="F30" s="2" t="n"/>
      <c r="G30" s="2" t="n"/>
      <c r="J30" s="2" t="n">
        <v>0.01</v>
      </c>
      <c r="K30" s="2" t="n">
        <v>0.03</v>
      </c>
      <c r="L30" s="2" t="n">
        <v>0.06</v>
      </c>
      <c r="M30" s="2" t="n"/>
      <c r="N30" s="2" t="n"/>
      <c r="O30" s="2" t="n">
        <v>0.01</v>
      </c>
      <c r="P30" s="2" t="n">
        <v>0.03</v>
      </c>
      <c r="Q30" s="2" t="n">
        <v>0.06</v>
      </c>
    </row>
    <row r="31">
      <c r="A31" t="inlineStr">
        <is>
          <t>CPU-16T (Intel Xeon Platinum 8480+)</t>
        </is>
      </c>
      <c r="B31" t="n">
        <v>151.24</v>
      </c>
      <c r="C31" t="n">
        <v>517.657</v>
      </c>
      <c r="D31" t="n">
        <v>1576.968</v>
      </c>
      <c r="I31" t="inlineStr">
        <is>
          <t>CPU-Serial</t>
        </is>
      </c>
      <c r="J31">
        <f>B$31/B31</f>
        <v/>
      </c>
      <c r="K31">
        <f>C$31/C31</f>
        <v/>
      </c>
      <c r="L31">
        <f>D$31/D31</f>
        <v/>
      </c>
    </row>
    <row r="32">
      <c r="A32" t="inlineStr">
        <is>
          <t>GPU-Hopper</t>
        </is>
      </c>
      <c r="B32" t="n">
        <v>6</v>
      </c>
      <c r="C32" t="n">
        <v>9</v>
      </c>
      <c r="D32" t="n">
        <v>11</v>
      </c>
      <c r="I32" t="inlineStr">
        <is>
          <t>GPU-Hopper</t>
        </is>
      </c>
      <c r="J32">
        <f>B$31/B32</f>
        <v/>
      </c>
      <c r="K32">
        <f>C$31/C32</f>
        <v/>
      </c>
      <c r="L32">
        <f>D$31/D32</f>
        <v/>
      </c>
      <c r="N32" t="inlineStr">
        <is>
          <t>GPU-Hopper/MASS-Hopper</t>
        </is>
      </c>
      <c r="O32">
        <f>J32/J33</f>
        <v/>
      </c>
      <c r="P32">
        <f>K32/K33</f>
        <v/>
      </c>
      <c r="Q32">
        <f>L32/L33</f>
        <v/>
      </c>
    </row>
    <row r="33">
      <c r="A33" t="inlineStr">
        <is>
          <t>MASS-Hopper</t>
        </is>
      </c>
      <c r="I33" t="inlineStr">
        <is>
          <t>MASS-Hopper</t>
        </is>
      </c>
      <c r="J33">
        <f>B$31/B33</f>
        <v/>
      </c>
      <c r="K33">
        <f>C$31/C33</f>
        <v/>
      </c>
      <c r="L33">
        <f>D$31/D33</f>
        <v/>
      </c>
    </row>
    <row r="34"/>
    <row r="35">
      <c r="A35" t="inlineStr">
        <is>
          <t>amz</t>
        </is>
      </c>
    </row>
    <row r="36">
      <c r="A36" s="4" t="n"/>
      <c r="B36" s="4" t="inlineStr">
        <is>
          <t>p=0.01%</t>
        </is>
      </c>
      <c r="C36" s="4" t="n"/>
      <c r="D36" s="4" t="n"/>
      <c r="E36" s="4" t="n"/>
      <c r="F36" s="4" t="n"/>
      <c r="G36" s="4" t="n"/>
      <c r="H36" s="4" t="n"/>
      <c r="I36" s="4" t="inlineStr">
        <is>
          <t>ER-p</t>
        </is>
      </c>
      <c r="J36" s="4" t="inlineStr">
        <is>
          <t>p=0.01%</t>
        </is>
      </c>
      <c r="K36" s="4" t="n"/>
      <c r="L36" s="4" t="n"/>
      <c r="M36" s="4" t="n"/>
      <c r="N36" s="4" t="n"/>
      <c r="O36" s="4" t="n"/>
      <c r="P36" s="4" t="n"/>
      <c r="Q36" s="4" t="n"/>
    </row>
    <row r="37">
      <c r="A37" s="4" t="inlineStr">
        <is>
          <t>10 years</t>
        </is>
      </c>
      <c r="B37" s="4" t="n"/>
      <c r="C37" s="4" t="n"/>
      <c r="D37" s="4" t="n"/>
      <c r="E37" s="4" t="n"/>
      <c r="F37" s="4" t="n"/>
      <c r="G37" s="4" t="n"/>
      <c r="H37" s="4" t="n"/>
      <c r="I37" s="4" t="inlineStr">
        <is>
          <t>10 years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inlineStr">
        <is>
          <t>TIMING (seconds)</t>
        </is>
      </c>
      <c r="B38" s="4" t="n"/>
      <c r="C38" s="4" t="n"/>
      <c r="D38" s="4" t="n"/>
      <c r="E38" s="4" t="n"/>
      <c r="F38" s="4" t="n"/>
      <c r="G38" s="4" t="n"/>
      <c r="H38" s="4" t="n"/>
      <c r="I38" s="4" t="inlineStr">
        <is>
          <t>Speedup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5" t="n">
        <v>0.01</v>
      </c>
      <c r="C39" s="5" t="n">
        <v>0.03</v>
      </c>
      <c r="D39" s="5" t="n">
        <v>0.06</v>
      </c>
      <c r="E39" s="4" t="n"/>
      <c r="F39" s="5" t="n"/>
      <c r="G39" s="5" t="n"/>
      <c r="H39" s="4" t="n"/>
      <c r="I39" s="4" t="n"/>
      <c r="J39" s="5" t="n">
        <v>0.01</v>
      </c>
      <c r="K39" s="5" t="n">
        <v>0.03</v>
      </c>
      <c r="L39" s="5" t="n">
        <v>0.06</v>
      </c>
      <c r="M39" s="5" t="n"/>
      <c r="N39" s="5" t="n"/>
      <c r="O39" s="5" t="n">
        <v>0.01</v>
      </c>
      <c r="P39" s="5" t="n">
        <v>0.03</v>
      </c>
      <c r="Q39" s="5" t="n">
        <v>0.06</v>
      </c>
    </row>
    <row r="40">
      <c r="A40" s="4" t="inlineStr">
        <is>
          <t>CPU-16T (Intel Xeon Platinum 8480+)</t>
        </is>
      </c>
      <c r="B40" s="4" t="n">
        <v>19.306</v>
      </c>
      <c r="C40" s="4" t="n">
        <v>50.819</v>
      </c>
      <c r="D40" s="4" t="n">
        <v>129.437</v>
      </c>
      <c r="E40" s="4" t="n"/>
      <c r="F40" s="4" t="n"/>
      <c r="G40" s="4" t="n"/>
      <c r="H40" s="4" t="n"/>
      <c r="I40" s="4" t="inlineStr">
        <is>
          <t>CPU-Serial</t>
        </is>
      </c>
      <c r="J40" s="4" t="e">
        <v>#DIV/0!</v>
      </c>
      <c r="K40" s="4" t="e">
        <v>#DIV/0!</v>
      </c>
      <c r="L40" s="4" t="e">
        <v>#DIV/0!</v>
      </c>
      <c r="M40" s="4" t="n"/>
      <c r="N40" s="4" t="n"/>
      <c r="O40" s="4" t="n"/>
      <c r="P40" s="4" t="n"/>
      <c r="Q40" s="4" t="n"/>
    </row>
    <row r="41">
      <c r="A41" s="4" t="inlineStr">
        <is>
          <t>GPU-Hopper</t>
        </is>
      </c>
      <c r="B41" s="4" t="n">
        <v>11</v>
      </c>
      <c r="C41" s="4" t="n">
        <v>18</v>
      </c>
      <c r="D41" s="4" t="n">
        <v>29</v>
      </c>
      <c r="E41" s="4" t="n"/>
      <c r="F41" s="4" t="n"/>
      <c r="G41" s="4" t="n"/>
      <c r="H41" s="4" t="n"/>
      <c r="I41" s="4" t="inlineStr">
        <is>
          <t>GPU-Hopper</t>
        </is>
      </c>
      <c r="J41" s="4" t="e">
        <v>#DIV/0!</v>
      </c>
      <c r="K41" s="4" t="e">
        <v>#DIV/0!</v>
      </c>
      <c r="L41" s="4" t="e">
        <v>#DIV/0!</v>
      </c>
      <c r="M41" s="4" t="n"/>
      <c r="N41" s="4" t="inlineStr">
        <is>
          <t>GPU-Hopper/MASS-Hopper</t>
        </is>
      </c>
      <c r="O41" s="4" t="e">
        <v>#DIV/0!</v>
      </c>
      <c r="P41" s="4" t="e">
        <v>#DIV/0!</v>
      </c>
      <c r="Q41" s="4" t="e">
        <v>#DIV/0!</v>
      </c>
    </row>
    <row r="42">
      <c r="A42" s="4" t="inlineStr">
        <is>
          <t>MASS-Hopper</t>
        </is>
      </c>
      <c r="B42" s="4" t="n"/>
      <c r="C42" s="4" t="n"/>
      <c r="D42" s="4" t="n"/>
      <c r="E42" s="4" t="n"/>
      <c r="F42" s="4" t="n"/>
      <c r="G42" s="4" t="n"/>
      <c r="H42" s="4" t="n"/>
      <c r="I42" s="4" t="inlineStr">
        <is>
          <t>MASS-Hopper</t>
        </is>
      </c>
      <c r="J42" s="4" t="e">
        <v>#DIV/0!</v>
      </c>
      <c r="K42" s="4" t="e">
        <v>#DIV/0!</v>
      </c>
      <c r="L42" s="4" t="e">
        <v>#DIV/0!</v>
      </c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inlineStr">
        <is>
          <t>ER-p</t>
        </is>
      </c>
      <c r="B44" s="4" t="inlineStr">
        <is>
          <t>p=0.03%</t>
        </is>
      </c>
      <c r="C44" s="4" t="n"/>
      <c r="D44" s="4" t="n"/>
      <c r="E44" s="4" t="n"/>
      <c r="F44" s="4" t="n"/>
      <c r="G44" s="4" t="n"/>
      <c r="H44" s="4" t="n"/>
      <c r="I44" s="4" t="inlineStr">
        <is>
          <t>ER-p</t>
        </is>
      </c>
      <c r="J44" s="4" t="inlineStr">
        <is>
          <t>p=0.03%</t>
        </is>
      </c>
      <c r="K44" s="4" t="n"/>
      <c r="L44" s="4" t="n"/>
      <c r="M44" s="4" t="n"/>
      <c r="N44" s="4" t="n"/>
      <c r="O44" s="4" t="n"/>
      <c r="P44" s="4" t="n"/>
      <c r="Q44" s="4" t="n"/>
    </row>
    <row r="45">
      <c r="A45" s="4" t="inlineStr">
        <is>
          <t>3 years</t>
        </is>
      </c>
      <c r="B45" s="4" t="n"/>
      <c r="C45" s="4" t="n"/>
      <c r="D45" s="4" t="n"/>
      <c r="E45" s="4" t="n"/>
      <c r="F45" s="4" t="n"/>
      <c r="G45" s="4" t="n"/>
      <c r="H45" s="4" t="n"/>
      <c r="I45" s="4" t="inlineStr">
        <is>
          <t>3 years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inlineStr">
        <is>
          <t>TIMING (seconds)</t>
        </is>
      </c>
      <c r="B46" s="4" t="n"/>
      <c r="C46" s="4" t="n"/>
      <c r="D46" s="4" t="n"/>
      <c r="E46" s="4" t="n"/>
      <c r="F46" s="4" t="n"/>
      <c r="G46" s="4" t="n"/>
      <c r="H46" s="4" t="n"/>
      <c r="I46" s="4" t="inlineStr">
        <is>
          <t>Speedup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n"/>
      <c r="B47" s="5" t="n">
        <v>0.01</v>
      </c>
      <c r="C47" s="5" t="n">
        <v>0.03</v>
      </c>
      <c r="D47" s="5" t="n">
        <v>0.06</v>
      </c>
      <c r="E47" s="4" t="n"/>
      <c r="F47" s="5" t="n"/>
      <c r="G47" s="5" t="n"/>
      <c r="H47" s="4" t="n"/>
      <c r="I47" s="4" t="n"/>
      <c r="J47" s="5" t="n">
        <v>0.01</v>
      </c>
      <c r="K47" s="5" t="n">
        <v>0.03</v>
      </c>
      <c r="L47" s="5" t="n">
        <v>0.06</v>
      </c>
      <c r="M47" s="4" t="n"/>
      <c r="N47" s="5" t="n"/>
      <c r="O47" s="5" t="n">
        <v>0.01</v>
      </c>
      <c r="P47" s="5" t="n">
        <v>0.03</v>
      </c>
      <c r="Q47" s="5" t="n">
        <v>0.06</v>
      </c>
    </row>
    <row r="48">
      <c r="A48" s="4" t="inlineStr">
        <is>
          <t>CPU-16T (Intel Xeon Platinum 8480+)</t>
        </is>
      </c>
      <c r="B48" s="4" t="n">
        <v>31.398</v>
      </c>
      <c r="C48" s="4" t="n">
        <v>106.539</v>
      </c>
      <c r="D48" s="4" t="n">
        <v>304.736</v>
      </c>
      <c r="E48" s="4" t="n"/>
      <c r="F48" s="4" t="n"/>
      <c r="G48" s="4" t="n"/>
      <c r="H48" s="4" t="n"/>
      <c r="I48" s="4" t="inlineStr">
        <is>
          <t>CPU-Serial</t>
        </is>
      </c>
      <c r="J48" s="4" t="e">
        <v>#DIV/0!</v>
      </c>
      <c r="K48" s="4" t="e">
        <v>#DIV/0!</v>
      </c>
      <c r="L48" s="4" t="e">
        <v>#DIV/0!</v>
      </c>
      <c r="M48" s="4" t="n"/>
      <c r="N48" s="4" t="n"/>
      <c r="O48" s="4" t="n"/>
      <c r="P48" s="4" t="n"/>
      <c r="Q48" s="4" t="n"/>
    </row>
    <row r="49">
      <c r="A49" s="4" t="inlineStr">
        <is>
          <t>GPU-Hopper</t>
        </is>
      </c>
      <c r="B49" s="4" t="n">
        <v>12</v>
      </c>
      <c r="C49" s="4" t="n">
        <v>21</v>
      </c>
      <c r="D49" s="4" t="n">
        <v>38</v>
      </c>
      <c r="E49" s="4" t="n"/>
      <c r="F49" s="4" t="n"/>
      <c r="G49" s="4" t="n"/>
      <c r="H49" s="4" t="n"/>
      <c r="I49" s="4" t="inlineStr">
        <is>
          <t>GPU-Hopper</t>
        </is>
      </c>
      <c r="J49" s="4" t="e">
        <v>#DIV/0!</v>
      </c>
      <c r="K49" s="4" t="e">
        <v>#DIV/0!</v>
      </c>
      <c r="L49" s="4" t="e">
        <v>#DIV/0!</v>
      </c>
      <c r="M49" s="4" t="n"/>
      <c r="N49" s="4" t="inlineStr">
        <is>
          <t>GPU-Hopper/MASS-Hopper</t>
        </is>
      </c>
      <c r="O49" s="4" t="e">
        <v>#DIV/0!</v>
      </c>
      <c r="P49" s="4" t="e">
        <v>#DIV/0!</v>
      </c>
      <c r="Q49" s="4" t="e">
        <v>#DIV/0!</v>
      </c>
    </row>
    <row r="50">
      <c r="A50" s="4" t="inlineStr">
        <is>
          <t>MASS-Hopper</t>
        </is>
      </c>
      <c r="B50" s="4" t="n"/>
      <c r="C50" s="4" t="n"/>
      <c r="D50" s="4" t="n"/>
      <c r="E50" s="4" t="n"/>
      <c r="F50" s="4" t="n"/>
      <c r="G50" s="4" t="n"/>
      <c r="H50" s="4" t="n"/>
      <c r="I50" s="4" t="inlineStr">
        <is>
          <t>MASS-Hopper</t>
        </is>
      </c>
      <c r="J50" s="4" t="e">
        <v>#DIV/0!</v>
      </c>
      <c r="K50" s="4" t="e">
        <v>#DIV/0!</v>
      </c>
      <c r="L50" s="4" t="e">
        <v>#DIV/0!</v>
      </c>
      <c r="M50" s="4" t="n"/>
      <c r="N50" s="4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4" t="inlineStr">
        <is>
          <t>ER-p</t>
        </is>
      </c>
      <c r="B52" s="4" t="inlineStr">
        <is>
          <t>p=0.05%</t>
        </is>
      </c>
      <c r="C52" s="4" t="n"/>
      <c r="D52" s="4" t="n"/>
      <c r="E52" s="4" t="n"/>
      <c r="F52" s="4" t="n"/>
      <c r="G52" s="4" t="n"/>
      <c r="H52" s="4" t="n"/>
      <c r="I52" s="4" t="inlineStr">
        <is>
          <t>ER-p</t>
        </is>
      </c>
      <c r="J52" s="4" t="inlineStr">
        <is>
          <t>p=0.05%</t>
        </is>
      </c>
      <c r="K52" s="4" t="n"/>
      <c r="L52" s="4" t="n"/>
      <c r="M52" s="4" t="n"/>
      <c r="N52" s="4" t="n"/>
      <c r="O52" s="4" t="n"/>
      <c r="P52" s="4" t="n"/>
      <c r="Q52" s="4" t="n"/>
    </row>
    <row r="53">
      <c r="A53" s="4" t="inlineStr">
        <is>
          <t>10 years</t>
        </is>
      </c>
      <c r="B53" s="4" t="n"/>
      <c r="C53" s="4" t="n"/>
      <c r="D53" s="4" t="n"/>
      <c r="E53" s="4" t="n"/>
      <c r="F53" s="4" t="n"/>
      <c r="G53" s="4" t="n"/>
      <c r="H53" s="4" t="n"/>
      <c r="I53" s="4" t="inlineStr">
        <is>
          <t>10 years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4" t="inlineStr">
        <is>
          <t>TIMING (seconds)</t>
        </is>
      </c>
      <c r="B54" s="4" t="n"/>
      <c r="C54" s="4" t="n"/>
      <c r="D54" s="4" t="n"/>
      <c r="E54" s="4" t="n"/>
      <c r="F54" s="4" t="n"/>
      <c r="G54" s="4" t="n"/>
      <c r="H54" s="4" t="n"/>
      <c r="I54" s="4" t="inlineStr">
        <is>
          <t>Speedup</t>
        </is>
      </c>
      <c r="J54" s="4" t="n"/>
      <c r="K54" s="4" t="n"/>
      <c r="L54" s="4" t="n"/>
      <c r="M54" s="5" t="n"/>
      <c r="N54" s="5" t="n"/>
      <c r="O54" s="5" t="n"/>
      <c r="P54" s="5" t="n"/>
      <c r="Q54" s="5" t="n"/>
    </row>
    <row r="55">
      <c r="A55" s="4" t="n"/>
      <c r="B55" s="5" t="n">
        <v>0.01</v>
      </c>
      <c r="C55" s="5" t="n">
        <v>0.03</v>
      </c>
      <c r="D55" s="5" t="n">
        <v>0.06</v>
      </c>
      <c r="E55" s="4" t="n"/>
      <c r="F55" s="5" t="n"/>
      <c r="G55" s="5" t="n"/>
      <c r="H55" s="4" t="n"/>
      <c r="I55" s="4" t="n"/>
      <c r="J55" s="5" t="n">
        <v>0.01</v>
      </c>
      <c r="K55" s="5" t="n">
        <v>0.03</v>
      </c>
      <c r="L55" s="5" t="n">
        <v>0.06</v>
      </c>
      <c r="M55" s="4" t="n"/>
      <c r="N55" s="5" t="n"/>
      <c r="O55" s="5" t="n">
        <v>0.01</v>
      </c>
      <c r="P55" s="5" t="n">
        <v>0.03</v>
      </c>
      <c r="Q55" s="5" t="n">
        <v>0.06</v>
      </c>
    </row>
    <row r="56">
      <c r="A56" s="4" t="inlineStr">
        <is>
          <t>CPU-16T (Intel Xeon Platinum 8480+)</t>
        </is>
      </c>
      <c r="B56" s="4" t="n">
        <v>38.064</v>
      </c>
      <c r="C56" s="4" t="n">
        <v>133.126</v>
      </c>
      <c r="D56" s="4" t="n">
        <v>378.671</v>
      </c>
      <c r="E56" s="4" t="n"/>
      <c r="F56" s="4" t="n"/>
      <c r="G56" s="4" t="n"/>
      <c r="H56" s="4" t="n"/>
      <c r="I56" s="4" t="inlineStr">
        <is>
          <t>CPU-Serial</t>
        </is>
      </c>
      <c r="J56" s="4" t="e">
        <v>#DIV/0!</v>
      </c>
      <c r="K56" s="4" t="e">
        <v>#DIV/0!</v>
      </c>
      <c r="L56" s="4" t="e">
        <v>#DIV/0!</v>
      </c>
      <c r="M56" s="4" t="n"/>
      <c r="N56" s="4" t="n"/>
      <c r="O56" s="4" t="n"/>
      <c r="P56" s="4" t="n"/>
      <c r="Q56" s="4" t="n"/>
    </row>
    <row r="57">
      <c r="A57" s="4" t="inlineStr">
        <is>
          <t>GPU-Hopper</t>
        </is>
      </c>
      <c r="B57" s="4" t="n">
        <v>13</v>
      </c>
      <c r="C57" s="4" t="n">
        <v>24</v>
      </c>
      <c r="D57" s="4" t="n">
        <v>48</v>
      </c>
      <c r="E57" s="4" t="n"/>
      <c r="F57" s="4" t="n"/>
      <c r="G57" s="4" t="n"/>
      <c r="H57" s="4" t="n"/>
      <c r="I57" s="4" t="inlineStr">
        <is>
          <t>GPU-Hopper</t>
        </is>
      </c>
      <c r="J57" s="4" t="e">
        <v>#DIV/0!</v>
      </c>
      <c r="K57" s="4" t="e">
        <v>#DIV/0!</v>
      </c>
      <c r="L57" s="4" t="e">
        <v>#DIV/0!</v>
      </c>
      <c r="M57" s="4" t="n"/>
      <c r="N57" s="4" t="inlineStr">
        <is>
          <t>GPU-Hopper/MASS-Hopper</t>
        </is>
      </c>
      <c r="O57" s="4" t="e">
        <v>#DIV/0!</v>
      </c>
      <c r="P57" s="4" t="e">
        <v>#DIV/0!</v>
      </c>
      <c r="Q57" s="4" t="e">
        <v>#DIV/0!</v>
      </c>
    </row>
    <row r="58">
      <c r="A58" s="4" t="inlineStr">
        <is>
          <t>MASS-Hopper</t>
        </is>
      </c>
      <c r="B58" s="4" t="n"/>
      <c r="C58" s="4" t="n"/>
      <c r="D58" s="4" t="n"/>
      <c r="E58" s="4" t="n"/>
      <c r="F58" s="4" t="n"/>
      <c r="G58" s="4" t="n"/>
      <c r="H58" s="4" t="n"/>
      <c r="I58" s="4" t="inlineStr">
        <is>
          <t>MASS-Hopper</t>
        </is>
      </c>
      <c r="J58" s="4" t="e">
        <v>#DIV/0!</v>
      </c>
      <c r="K58" s="4" t="e">
        <v>#DIV/0!</v>
      </c>
      <c r="L58" s="4" t="e">
        <v>#DIV/0!</v>
      </c>
      <c r="M58" s="4" t="n"/>
      <c r="N58" s="4" t="n"/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4" t="inlineStr">
        <is>
          <t>ER-p</t>
        </is>
      </c>
      <c r="B60" s="4" t="inlineStr">
        <is>
          <t>p=0.1%</t>
        </is>
      </c>
      <c r="C60" s="4" t="n"/>
      <c r="D60" s="4" t="n"/>
      <c r="E60" s="4" t="n"/>
      <c r="F60" s="4" t="n"/>
      <c r="G60" s="4" t="n"/>
      <c r="H60" s="4" t="n"/>
      <c r="I60" s="4" t="inlineStr">
        <is>
          <t>ER-p</t>
        </is>
      </c>
      <c r="J60" s="4" t="inlineStr">
        <is>
          <t>p=0.1%</t>
        </is>
      </c>
      <c r="K60" s="4" t="n"/>
      <c r="L60" s="4" t="n"/>
      <c r="M60" s="4" t="n"/>
      <c r="N60" s="4" t="n"/>
      <c r="O60" s="4" t="n"/>
      <c r="P60" s="4" t="n"/>
      <c r="Q60" s="4" t="n"/>
    </row>
    <row r="61">
      <c r="A61" s="4" t="inlineStr">
        <is>
          <t>3 years</t>
        </is>
      </c>
      <c r="B61" s="4" t="n"/>
      <c r="C61" s="4" t="n"/>
      <c r="D61" s="4" t="n"/>
      <c r="E61" s="4" t="n"/>
      <c r="F61" s="4" t="n"/>
      <c r="G61" s="4" t="n"/>
      <c r="H61" s="4" t="n"/>
      <c r="I61" s="4" t="inlineStr">
        <is>
          <t>3 years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4" t="inlineStr">
        <is>
          <t>TIMING (seconds)</t>
        </is>
      </c>
      <c r="B62" s="4" t="n"/>
      <c r="C62" s="4" t="n"/>
      <c r="D62" s="4" t="n"/>
      <c r="E62" s="4" t="n"/>
      <c r="F62" s="4" t="n"/>
      <c r="G62" s="4" t="n"/>
      <c r="H62" s="4" t="n"/>
      <c r="I62" s="4" t="inlineStr">
        <is>
          <t>Speedup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</row>
    <row r="63">
      <c r="A63" s="4" t="n"/>
      <c r="B63" s="5" t="n">
        <v>0.01</v>
      </c>
      <c r="C63" s="5" t="n">
        <v>0.03</v>
      </c>
      <c r="D63" s="5" t="n">
        <v>0.06</v>
      </c>
      <c r="E63" s="4" t="n"/>
      <c r="F63" s="5" t="n"/>
      <c r="G63" s="5" t="n"/>
      <c r="H63" s="4" t="n"/>
      <c r="I63" s="4" t="n"/>
      <c r="J63" s="5" t="n">
        <v>0.01</v>
      </c>
      <c r="K63" s="5" t="n">
        <v>0.03</v>
      </c>
      <c r="L63" s="5" t="n">
        <v>0.06</v>
      </c>
      <c r="M63" s="5" t="n"/>
      <c r="N63" s="5" t="n"/>
      <c r="O63" s="5" t="n">
        <v>0.01</v>
      </c>
      <c r="P63" s="5" t="n">
        <v>0.03</v>
      </c>
      <c r="Q63" s="5" t="n">
        <v>0.06</v>
      </c>
    </row>
    <row r="64">
      <c r="A64" s="4" t="inlineStr">
        <is>
          <t>CPU-16T (Intel Xeon Platinum 8480+)</t>
        </is>
      </c>
      <c r="B64" s="4" t="n">
        <v>68.908</v>
      </c>
      <c r="C64" s="4" t="n">
        <v>254.398</v>
      </c>
      <c r="D64" s="4" t="n">
        <v>846.4109999999999</v>
      </c>
      <c r="E64" s="4" t="n"/>
      <c r="F64" s="4" t="n"/>
      <c r="G64" s="4" t="n"/>
      <c r="H64" s="4" t="n"/>
      <c r="I64" s="4" t="inlineStr">
        <is>
          <t>CPU-Serial</t>
        </is>
      </c>
      <c r="J64" s="4" t="e">
        <v>#DIV/0!</v>
      </c>
      <c r="K64" s="4" t="e">
        <v>#DIV/0!</v>
      </c>
      <c r="L64" s="4" t="e">
        <v>#DIV/0!</v>
      </c>
      <c r="M64" s="4" t="n"/>
      <c r="N64" s="4" t="n"/>
      <c r="O64" s="4" t="n"/>
      <c r="P64" s="4" t="n"/>
      <c r="Q64" s="4" t="n"/>
    </row>
    <row r="65">
      <c r="A65" s="4" t="inlineStr">
        <is>
          <t>GPU-Hopper</t>
        </is>
      </c>
      <c r="B65" s="4" t="n"/>
      <c r="C65" s="4" t="n"/>
      <c r="D65" s="4" t="n"/>
      <c r="E65" s="4" t="n"/>
      <c r="F65" s="4" t="n"/>
      <c r="G65" s="4" t="n"/>
      <c r="H65" s="4" t="n"/>
      <c r="I65" s="4" t="inlineStr">
        <is>
          <t>GPU-Hopper</t>
        </is>
      </c>
      <c r="J65" s="4" t="e">
        <v>#DIV/0!</v>
      </c>
      <c r="K65" s="4" t="e">
        <v>#DIV/0!</v>
      </c>
      <c r="L65" s="4" t="e">
        <v>#DIV/0!</v>
      </c>
      <c r="M65" s="4" t="n"/>
      <c r="N65" s="4" t="inlineStr">
        <is>
          <t>GPU-Hopper/MASS-Hopper</t>
        </is>
      </c>
      <c r="O65" s="4" t="e">
        <v>#DIV/0!</v>
      </c>
      <c r="P65" s="4" t="e">
        <v>#DIV/0!</v>
      </c>
      <c r="Q65" s="4" t="e">
        <v>#DIV/0!</v>
      </c>
    </row>
    <row r="66">
      <c r="A66" s="4" t="inlineStr">
        <is>
          <t>MASS-Hopper</t>
        </is>
      </c>
      <c r="B66" s="4" t="n"/>
      <c r="C66" s="4" t="n"/>
      <c r="D66" s="4" t="n"/>
      <c r="E66" s="4" t="n"/>
      <c r="F66" s="4" t="n"/>
      <c r="G66" s="4" t="n"/>
      <c r="H66" s="4" t="n"/>
      <c r="I66" s="4" t="inlineStr">
        <is>
          <t>MASS-Hopper</t>
        </is>
      </c>
      <c r="J66" s="4" t="e">
        <v>#DIV/0!</v>
      </c>
      <c r="K66" s="4" t="e">
        <v>#DIV/0!</v>
      </c>
      <c r="L66" s="4" t="e">
        <v>#DIV/0!</v>
      </c>
      <c r="M66" s="4" t="n"/>
      <c r="N66" s="4" t="n"/>
      <c r="O66" s="4" t="n"/>
      <c r="P66" s="4" t="n"/>
      <c r="Q66" s="4" t="n"/>
    </row>
    <row r="67"/>
    <row r="68">
      <c r="A68" s="4" t="inlineStr">
        <is>
          <t>eu</t>
        </is>
      </c>
    </row>
    <row r="69">
      <c r="A69" s="4" t="n"/>
      <c r="B69" s="4" t="inlineStr">
        <is>
          <t>p=0.01%</t>
        </is>
      </c>
      <c r="C69" s="4" t="n"/>
      <c r="D69" s="4" t="n"/>
      <c r="E69" s="4" t="n"/>
      <c r="F69" s="4" t="n"/>
      <c r="G69" s="4" t="n"/>
      <c r="H69" s="4" t="n"/>
      <c r="I69" s="4" t="inlineStr">
        <is>
          <t>ER-p</t>
        </is>
      </c>
      <c r="J69" s="4" t="inlineStr">
        <is>
          <t>p=0.01%</t>
        </is>
      </c>
      <c r="K69" s="4" t="n"/>
      <c r="L69" s="4" t="n"/>
      <c r="M69" s="4" t="n"/>
      <c r="N69" s="4" t="n"/>
      <c r="O69" s="4" t="n"/>
      <c r="P69" s="4" t="n"/>
      <c r="Q69" s="4" t="n"/>
    </row>
    <row r="70">
      <c r="A70" s="4" t="inlineStr">
        <is>
          <t>10 years</t>
        </is>
      </c>
      <c r="B70" s="4" t="n"/>
      <c r="C70" s="4" t="n"/>
      <c r="D70" s="4" t="n"/>
      <c r="E70" s="4" t="n"/>
      <c r="F70" s="4" t="n"/>
      <c r="G70" s="4" t="n"/>
      <c r="H70" s="4" t="n"/>
      <c r="I70" s="4" t="inlineStr">
        <is>
          <t>10 years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</row>
    <row r="71">
      <c r="A71" s="4" t="inlineStr">
        <is>
          <t>TIMING (seconds)</t>
        </is>
      </c>
      <c r="B71" s="4" t="n"/>
      <c r="C71" s="4" t="n"/>
      <c r="D71" s="4" t="n"/>
      <c r="E71" s="4" t="n"/>
      <c r="F71" s="4" t="n"/>
      <c r="G71" s="4" t="n"/>
      <c r="H71" s="4" t="n"/>
      <c r="I71" s="4" t="inlineStr">
        <is>
          <t>Speedup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</row>
    <row r="72">
      <c r="A72" s="4" t="n"/>
      <c r="B72" s="5" t="n">
        <v>0.01</v>
      </c>
      <c r="C72" s="5" t="n">
        <v>0.03</v>
      </c>
      <c r="D72" s="5" t="n">
        <v>0.06</v>
      </c>
      <c r="E72" s="4" t="n"/>
      <c r="F72" s="5" t="n"/>
      <c r="G72" s="5" t="n"/>
      <c r="H72" s="4" t="n"/>
      <c r="I72" s="4" t="n"/>
      <c r="J72" s="5" t="n">
        <v>0.01</v>
      </c>
      <c r="K72" s="5" t="n">
        <v>0.03</v>
      </c>
      <c r="L72" s="5" t="n">
        <v>0.06</v>
      </c>
      <c r="M72" s="5" t="n"/>
      <c r="N72" s="5" t="n"/>
      <c r="O72" s="5" t="n">
        <v>0.01</v>
      </c>
      <c r="P72" s="5" t="n">
        <v>0.03</v>
      </c>
      <c r="Q72" s="5" t="n">
        <v>0.06</v>
      </c>
    </row>
    <row r="73">
      <c r="A73" s="4" t="inlineStr">
        <is>
          <t>CPU-16T (Intel Xeon Platinum 8480+)</t>
        </is>
      </c>
      <c r="B73" s="4" t="n">
        <v>10.526</v>
      </c>
      <c r="C73" s="4" t="n">
        <v>29.413</v>
      </c>
      <c r="D73" s="4" t="n">
        <v>77.64</v>
      </c>
      <c r="E73" s="4" t="n"/>
      <c r="F73" s="4" t="n"/>
      <c r="G73" s="4" t="n"/>
      <c r="H73" s="4" t="n"/>
      <c r="I73" s="4" t="inlineStr">
        <is>
          <t>CPU-Serial</t>
        </is>
      </c>
      <c r="J73" s="4" t="e">
        <v>#DIV/0!</v>
      </c>
      <c r="K73" s="4" t="e">
        <v>#DIV/0!</v>
      </c>
      <c r="L73" s="4" t="e">
        <v>#DIV/0!</v>
      </c>
      <c r="M73" s="4" t="n"/>
      <c r="N73" s="4" t="n"/>
      <c r="O73" s="4" t="n"/>
      <c r="P73" s="4" t="n"/>
      <c r="Q73" s="4" t="n"/>
    </row>
    <row r="74">
      <c r="A74" s="4" t="inlineStr">
        <is>
          <t>GPU-Hopper</t>
        </is>
      </c>
      <c r="B74" s="4" t="n">
        <v>7</v>
      </c>
      <c r="C74" s="4" t="n">
        <v>12</v>
      </c>
      <c r="D74" s="4" t="n">
        <v>20</v>
      </c>
      <c r="E74" s="4" t="n"/>
      <c r="F74" s="4" t="n"/>
      <c r="G74" s="4" t="n"/>
      <c r="H74" s="4" t="n"/>
      <c r="I74" s="4" t="inlineStr">
        <is>
          <t>GPU-Hopper</t>
        </is>
      </c>
      <c r="J74" s="4" t="e">
        <v>#DIV/0!</v>
      </c>
      <c r="K74" s="4" t="e">
        <v>#DIV/0!</v>
      </c>
      <c r="L74" s="4" t="e">
        <v>#DIV/0!</v>
      </c>
      <c r="M74" s="4" t="n"/>
      <c r="N74" s="4" t="inlineStr">
        <is>
          <t>GPU-Hopper/MASS-Hopper</t>
        </is>
      </c>
      <c r="O74" s="4" t="e">
        <v>#DIV/0!</v>
      </c>
      <c r="P74" s="4" t="e">
        <v>#DIV/0!</v>
      </c>
      <c r="Q74" s="4" t="e">
        <v>#DIV/0!</v>
      </c>
    </row>
    <row r="75">
      <c r="A75" s="4" t="inlineStr">
        <is>
          <t>MASS-Hopper</t>
        </is>
      </c>
      <c r="B75" s="4" t="n"/>
      <c r="C75" s="4" t="n"/>
      <c r="D75" s="4" t="n"/>
      <c r="E75" s="4" t="n"/>
      <c r="F75" s="4" t="n"/>
      <c r="G75" s="4" t="n"/>
      <c r="H75" s="4" t="n"/>
      <c r="I75" s="4" t="inlineStr">
        <is>
          <t>MASS-Hopper</t>
        </is>
      </c>
      <c r="J75" s="4" t="e">
        <v>#DIV/0!</v>
      </c>
      <c r="K75" s="4" t="e">
        <v>#DIV/0!</v>
      </c>
      <c r="L75" s="4" t="e">
        <v>#DIV/0!</v>
      </c>
      <c r="M75" s="4" t="n"/>
      <c r="N75" s="4" t="n"/>
      <c r="O75" s="4" t="n"/>
      <c r="P75" s="4" t="n"/>
      <c r="Q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>
      <c r="A77" s="4" t="inlineStr">
        <is>
          <t>ER-p</t>
        </is>
      </c>
      <c r="B77" s="4" t="inlineStr">
        <is>
          <t>p=0.03%</t>
        </is>
      </c>
      <c r="C77" s="4" t="n"/>
      <c r="D77" s="4" t="n"/>
      <c r="E77" s="4" t="n"/>
      <c r="F77" s="4" t="n"/>
      <c r="G77" s="4" t="n"/>
      <c r="H77" s="4" t="n"/>
      <c r="I77" s="4" t="inlineStr">
        <is>
          <t>ER-p</t>
        </is>
      </c>
      <c r="J77" s="4" t="inlineStr">
        <is>
          <t>p=0.03%</t>
        </is>
      </c>
      <c r="K77" s="4" t="n"/>
      <c r="L77" s="4" t="n"/>
      <c r="M77" s="4" t="n"/>
      <c r="N77" s="4" t="n"/>
      <c r="O77" s="4" t="n"/>
      <c r="P77" s="4" t="n"/>
      <c r="Q77" s="4" t="n"/>
    </row>
    <row r="78">
      <c r="A78" s="4" t="inlineStr">
        <is>
          <t>3 years</t>
        </is>
      </c>
      <c r="B78" s="4" t="n"/>
      <c r="C78" s="4" t="n"/>
      <c r="D78" s="4" t="n"/>
      <c r="E78" s="4" t="n"/>
      <c r="F78" s="4" t="n"/>
      <c r="G78" s="4" t="n"/>
      <c r="H78" s="4" t="n"/>
      <c r="I78" s="4" t="inlineStr">
        <is>
          <t>3 years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</row>
    <row r="79">
      <c r="A79" s="4" t="inlineStr">
        <is>
          <t>TIMING (seconds)</t>
        </is>
      </c>
      <c r="B79" s="4" t="n"/>
      <c r="C79" s="4" t="n"/>
      <c r="D79" s="4" t="n"/>
      <c r="E79" s="4" t="n"/>
      <c r="F79" s="4" t="n"/>
      <c r="G79" s="4" t="n"/>
      <c r="H79" s="4" t="n"/>
      <c r="I79" s="4" t="inlineStr">
        <is>
          <t>Speedup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</row>
    <row r="80">
      <c r="A80" s="4" t="n"/>
      <c r="B80" s="5" t="n">
        <v>0.01</v>
      </c>
      <c r="C80" s="5" t="n">
        <v>0.03</v>
      </c>
      <c r="D80" s="5" t="n">
        <v>0.06</v>
      </c>
      <c r="E80" s="4" t="n"/>
      <c r="F80" s="5" t="n"/>
      <c r="G80" s="5" t="n"/>
      <c r="H80" s="4" t="n"/>
      <c r="I80" s="4" t="n"/>
      <c r="J80" s="5" t="n">
        <v>0.01</v>
      </c>
      <c r="K80" s="5" t="n">
        <v>0.03</v>
      </c>
      <c r="L80" s="5" t="n">
        <v>0.06</v>
      </c>
      <c r="M80" s="4" t="n"/>
      <c r="N80" s="5" t="n"/>
      <c r="O80" s="5" t="n">
        <v>0.01</v>
      </c>
      <c r="P80" s="5" t="n">
        <v>0.03</v>
      </c>
      <c r="Q80" s="5" t="n">
        <v>0.06</v>
      </c>
    </row>
    <row r="81">
      <c r="A81" s="4" t="inlineStr">
        <is>
          <t>CPU-16T (Intel Xeon Platinum 8480+)</t>
        </is>
      </c>
      <c r="B81" s="4" t="n">
        <v>18.384</v>
      </c>
      <c r="C81" s="4" t="n">
        <v>63.069</v>
      </c>
      <c r="D81" s="4" t="n">
        <v>185.393</v>
      </c>
      <c r="E81" s="4" t="n"/>
      <c r="F81" s="4" t="n"/>
      <c r="G81" s="4" t="n"/>
      <c r="H81" s="4" t="n"/>
      <c r="I81" s="4" t="inlineStr">
        <is>
          <t>CPU-Serial</t>
        </is>
      </c>
      <c r="J81" s="4" t="e">
        <v>#DIV/0!</v>
      </c>
      <c r="K81" s="4" t="e">
        <v>#DIV/0!</v>
      </c>
      <c r="L81" s="4" t="e">
        <v>#DIV/0!</v>
      </c>
      <c r="M81" s="4" t="n"/>
      <c r="N81" s="4" t="n"/>
      <c r="O81" s="4" t="n"/>
      <c r="P81" s="4" t="n"/>
      <c r="Q81" s="4" t="n"/>
    </row>
    <row r="82">
      <c r="A82" s="4" t="inlineStr">
        <is>
          <t>GPU-Hopper</t>
        </is>
      </c>
      <c r="B82" s="4" t="n">
        <v>8</v>
      </c>
      <c r="C82" s="4" t="n">
        <v>14</v>
      </c>
      <c r="D82" s="4" t="n">
        <v>25</v>
      </c>
      <c r="E82" s="4" t="n"/>
      <c r="F82" s="4" t="n"/>
      <c r="G82" s="4" t="n"/>
      <c r="H82" s="4" t="n"/>
      <c r="I82" s="4" t="inlineStr">
        <is>
          <t>GPU-Hopper</t>
        </is>
      </c>
      <c r="J82" s="4" t="e">
        <v>#DIV/0!</v>
      </c>
      <c r="K82" s="4" t="e">
        <v>#DIV/0!</v>
      </c>
      <c r="L82" s="4" t="e">
        <v>#DIV/0!</v>
      </c>
      <c r="M82" s="4" t="n"/>
      <c r="N82" s="4" t="inlineStr">
        <is>
          <t>GPU-Hopper/MASS-Hopper</t>
        </is>
      </c>
      <c r="O82" s="4" t="e">
        <v>#DIV/0!</v>
      </c>
      <c r="P82" s="4" t="e">
        <v>#DIV/0!</v>
      </c>
      <c r="Q82" s="4" t="e">
        <v>#DIV/0!</v>
      </c>
    </row>
    <row r="83">
      <c r="A83" s="4" t="inlineStr">
        <is>
          <t>MASS-Hopper</t>
        </is>
      </c>
      <c r="B83" s="4" t="n"/>
      <c r="C83" s="4" t="n"/>
      <c r="D83" s="4" t="n"/>
      <c r="E83" s="4" t="n"/>
      <c r="F83" s="4" t="n"/>
      <c r="G83" s="4" t="n"/>
      <c r="H83" s="4" t="n"/>
      <c r="I83" s="4" t="inlineStr">
        <is>
          <t>MASS-Hopper</t>
        </is>
      </c>
      <c r="J83" s="4" t="e">
        <v>#DIV/0!</v>
      </c>
      <c r="K83" s="4" t="e">
        <v>#DIV/0!</v>
      </c>
      <c r="L83" s="4" t="e">
        <v>#DIV/0!</v>
      </c>
      <c r="M83" s="4" t="n"/>
      <c r="N83" s="4" t="n"/>
      <c r="O83" s="4" t="n"/>
      <c r="P83" s="4" t="n"/>
      <c r="Q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</row>
    <row r="85">
      <c r="A85" s="4" t="inlineStr">
        <is>
          <t>ER-p</t>
        </is>
      </c>
      <c r="B85" s="4" t="inlineStr">
        <is>
          <t>p=0.05%</t>
        </is>
      </c>
      <c r="C85" s="4" t="n"/>
      <c r="D85" s="4" t="n"/>
      <c r="E85" s="4" t="n"/>
      <c r="F85" s="4" t="n"/>
      <c r="G85" s="4" t="n"/>
      <c r="H85" s="4" t="n"/>
      <c r="I85" s="4" t="inlineStr">
        <is>
          <t>ER-p</t>
        </is>
      </c>
      <c r="J85" s="4" t="inlineStr">
        <is>
          <t>p=0.05%</t>
        </is>
      </c>
      <c r="K85" s="4" t="n"/>
      <c r="L85" s="4" t="n"/>
      <c r="M85" s="4" t="n"/>
      <c r="N85" s="4" t="n"/>
      <c r="O85" s="4" t="n"/>
      <c r="P85" s="4" t="n"/>
      <c r="Q85" s="4" t="n"/>
    </row>
    <row r="86">
      <c r="A86" s="4" t="inlineStr">
        <is>
          <t>10 years</t>
        </is>
      </c>
      <c r="B86" s="4" t="n"/>
      <c r="C86" s="4" t="n"/>
      <c r="D86" s="4" t="n"/>
      <c r="E86" s="4" t="n"/>
      <c r="F86" s="4" t="n"/>
      <c r="G86" s="4" t="n"/>
      <c r="H86" s="4" t="n"/>
      <c r="I86" s="4" t="inlineStr">
        <is>
          <t>10 years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</row>
    <row r="87">
      <c r="A87" s="4" t="inlineStr">
        <is>
          <t>TIMING (seconds)</t>
        </is>
      </c>
      <c r="B87" s="4" t="n"/>
      <c r="C87" s="4" t="n"/>
      <c r="D87" s="4" t="n"/>
      <c r="E87" s="4" t="n"/>
      <c r="F87" s="4" t="n"/>
      <c r="G87" s="4" t="n"/>
      <c r="H87" s="4" t="n"/>
      <c r="I87" s="4" t="inlineStr">
        <is>
          <t>Speedup</t>
        </is>
      </c>
      <c r="J87" s="4" t="n"/>
      <c r="K87" s="4" t="n"/>
      <c r="L87" s="4" t="n"/>
      <c r="M87" s="5" t="n"/>
      <c r="N87" s="5" t="n"/>
      <c r="O87" s="5" t="n"/>
      <c r="P87" s="5" t="n"/>
      <c r="Q87" s="5" t="n"/>
    </row>
    <row r="88">
      <c r="A88" s="4" t="n"/>
      <c r="B88" s="5" t="n">
        <v>0.01</v>
      </c>
      <c r="C88" s="5" t="n">
        <v>0.03</v>
      </c>
      <c r="D88" s="5" t="n">
        <v>0.06</v>
      </c>
      <c r="E88" s="4" t="n"/>
      <c r="F88" s="5" t="n"/>
      <c r="G88" s="5" t="n"/>
      <c r="H88" s="4" t="n"/>
      <c r="I88" s="4" t="n"/>
      <c r="J88" s="5" t="n">
        <v>0.01</v>
      </c>
      <c r="K88" s="5" t="n">
        <v>0.03</v>
      </c>
      <c r="L88" s="5" t="n">
        <v>0.06</v>
      </c>
      <c r="M88" s="4" t="n"/>
      <c r="N88" s="5" t="n"/>
      <c r="O88" s="5" t="n">
        <v>0.01</v>
      </c>
      <c r="P88" s="5" t="n">
        <v>0.03</v>
      </c>
      <c r="Q88" s="5" t="n">
        <v>0.06</v>
      </c>
    </row>
    <row r="89">
      <c r="A89" s="4" t="inlineStr">
        <is>
          <t>CPU-16T (Intel Xeon Platinum 8480+)</t>
        </is>
      </c>
      <c r="B89" s="4" t="n">
        <v>22.643</v>
      </c>
      <c r="C89" s="4" t="n">
        <v>77.89700000000001</v>
      </c>
      <c r="D89" s="4" t="n">
        <v>281.523</v>
      </c>
      <c r="E89" s="4" t="n"/>
      <c r="F89" s="4" t="n"/>
      <c r="G89" s="4" t="n"/>
      <c r="H89" s="4" t="n"/>
      <c r="I89" s="4" t="inlineStr">
        <is>
          <t>CPU-Serial</t>
        </is>
      </c>
      <c r="J89" s="4" t="e">
        <v>#DIV/0!</v>
      </c>
      <c r="K89" s="4" t="e">
        <v>#DIV/0!</v>
      </c>
      <c r="L89" s="4" t="e">
        <v>#DIV/0!</v>
      </c>
      <c r="M89" s="4" t="n"/>
      <c r="N89" s="4" t="n"/>
      <c r="O89" s="4" t="n"/>
      <c r="P89" s="4" t="n"/>
      <c r="Q89" s="4" t="n"/>
    </row>
    <row r="90">
      <c r="A90" s="4" t="inlineStr">
        <is>
          <t>GPU-Hopper</t>
        </is>
      </c>
      <c r="B90" s="4" t="n">
        <v>8</v>
      </c>
      <c r="C90" s="4" t="n">
        <v>15</v>
      </c>
      <c r="D90" s="4" t="n">
        <v>30</v>
      </c>
      <c r="E90" s="4" t="n"/>
      <c r="F90" s="4" t="n"/>
      <c r="G90" s="4" t="n"/>
      <c r="H90" s="4" t="n"/>
      <c r="I90" s="4" t="inlineStr">
        <is>
          <t>GPU-Hopper</t>
        </is>
      </c>
      <c r="J90" s="4" t="e">
        <v>#DIV/0!</v>
      </c>
      <c r="K90" s="4" t="e">
        <v>#DIV/0!</v>
      </c>
      <c r="L90" s="4" t="e">
        <v>#DIV/0!</v>
      </c>
      <c r="M90" s="4" t="n"/>
      <c r="N90" s="4" t="inlineStr">
        <is>
          <t>GPU-Hopper/MASS-Hopper</t>
        </is>
      </c>
      <c r="O90" s="4" t="e">
        <v>#DIV/0!</v>
      </c>
      <c r="P90" s="4" t="e">
        <v>#DIV/0!</v>
      </c>
      <c r="Q90" s="4" t="e">
        <v>#DIV/0!</v>
      </c>
    </row>
    <row r="91">
      <c r="A91" s="4" t="inlineStr">
        <is>
          <t>MASS-Hopper</t>
        </is>
      </c>
      <c r="B91" s="4" t="n"/>
      <c r="C91" s="4" t="n"/>
      <c r="D91" s="4" t="n"/>
      <c r="E91" s="4" t="n"/>
      <c r="F91" s="4" t="n"/>
      <c r="G91" s="4" t="n"/>
      <c r="H91" s="4" t="n"/>
      <c r="I91" s="4" t="inlineStr">
        <is>
          <t>MASS-Hopper</t>
        </is>
      </c>
      <c r="J91" s="4" t="e">
        <v>#DIV/0!</v>
      </c>
      <c r="K91" s="4" t="e">
        <v>#DIV/0!</v>
      </c>
      <c r="L91" s="4" t="e">
        <v>#DIV/0!</v>
      </c>
      <c r="M91" s="4" t="n"/>
      <c r="N91" s="4" t="n"/>
      <c r="O91" s="4" t="n"/>
      <c r="P91" s="4" t="n"/>
      <c r="Q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>
      <c r="A93" s="4" t="inlineStr">
        <is>
          <t>ER-p</t>
        </is>
      </c>
      <c r="B93" s="4" t="inlineStr">
        <is>
          <t>p=0.1%</t>
        </is>
      </c>
      <c r="C93" s="4" t="n"/>
      <c r="D93" s="4" t="n"/>
      <c r="E93" s="4" t="n"/>
      <c r="F93" s="4" t="n"/>
      <c r="G93" s="4" t="n"/>
      <c r="H93" s="4" t="n"/>
      <c r="I93" s="4" t="inlineStr">
        <is>
          <t>ER-p</t>
        </is>
      </c>
      <c r="J93" s="4" t="inlineStr">
        <is>
          <t>p=0.1%</t>
        </is>
      </c>
      <c r="K93" s="4" t="n"/>
      <c r="L93" s="4" t="n"/>
      <c r="M93" s="4" t="n"/>
      <c r="N93" s="4" t="n"/>
      <c r="O93" s="4" t="n"/>
      <c r="P93" s="4" t="n"/>
      <c r="Q93" s="4" t="n"/>
    </row>
    <row r="94">
      <c r="A94" s="4" t="inlineStr">
        <is>
          <t>3 years</t>
        </is>
      </c>
      <c r="B94" s="4" t="n"/>
      <c r="C94" s="4" t="n"/>
      <c r="D94" s="4" t="n"/>
      <c r="E94" s="4" t="n"/>
      <c r="F94" s="4" t="n"/>
      <c r="G94" s="4" t="n"/>
      <c r="H94" s="4" t="n"/>
      <c r="I94" s="4" t="inlineStr">
        <is>
          <t>3 years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</row>
    <row r="95">
      <c r="A95" s="4" t="inlineStr">
        <is>
          <t>TIMING (seconds)</t>
        </is>
      </c>
      <c r="B95" s="4" t="n"/>
      <c r="C95" s="4" t="n"/>
      <c r="D95" s="4" t="n"/>
      <c r="E95" s="4" t="n"/>
      <c r="F95" s="4" t="n"/>
      <c r="G95" s="4" t="n"/>
      <c r="H95" s="4" t="n"/>
      <c r="I95" s="4" t="inlineStr">
        <is>
          <t>Speedup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</row>
    <row r="96">
      <c r="A96" s="4" t="n"/>
      <c r="B96" s="5" t="n">
        <v>0.01</v>
      </c>
      <c r="C96" s="5" t="n">
        <v>0.03</v>
      </c>
      <c r="D96" s="5" t="n">
        <v>0.06</v>
      </c>
      <c r="E96" s="4" t="n"/>
      <c r="F96" s="5" t="n"/>
      <c r="G96" s="5" t="n"/>
      <c r="H96" s="4" t="n"/>
      <c r="I96" s="4" t="n"/>
      <c r="J96" s="5" t="n">
        <v>0.01</v>
      </c>
      <c r="K96" s="5" t="n">
        <v>0.03</v>
      </c>
      <c r="L96" s="5" t="n">
        <v>0.06</v>
      </c>
      <c r="M96" s="5" t="n"/>
      <c r="N96" s="5" t="n"/>
      <c r="O96" s="5" t="n">
        <v>0.01</v>
      </c>
      <c r="P96" s="5" t="n">
        <v>0.03</v>
      </c>
      <c r="Q96" s="5" t="n">
        <v>0.06</v>
      </c>
    </row>
    <row r="97">
      <c r="A97" s="4" t="inlineStr">
        <is>
          <t>CPU-16T (Intel Xeon Platinum 8480+)</t>
        </is>
      </c>
      <c r="B97" s="4" t="n">
        <v>39.78</v>
      </c>
      <c r="C97" s="4" t="n">
        <v>148.604</v>
      </c>
      <c r="D97" s="4" t="n">
        <v>443.135</v>
      </c>
      <c r="E97" s="4" t="n"/>
      <c r="F97" s="4" t="n"/>
      <c r="G97" s="4" t="n"/>
      <c r="H97" s="4" t="n"/>
      <c r="I97" s="4" t="inlineStr">
        <is>
          <t>CPU-Serial</t>
        </is>
      </c>
      <c r="J97" s="4" t="e">
        <v>#DIV/0!</v>
      </c>
      <c r="K97" s="4" t="e">
        <v>#DIV/0!</v>
      </c>
      <c r="L97" s="4" t="e">
        <v>#DIV/0!</v>
      </c>
      <c r="M97" s="4" t="n"/>
      <c r="N97" s="4" t="n"/>
      <c r="O97" s="4" t="n"/>
      <c r="P97" s="4" t="n"/>
      <c r="Q97" s="4" t="n"/>
    </row>
    <row r="98">
      <c r="A98" s="4" t="inlineStr">
        <is>
          <t>GPU-Hopper</t>
        </is>
      </c>
      <c r="B98" s="4" t="n"/>
      <c r="C98" s="4" t="n"/>
      <c r="D98" s="4" t="n"/>
      <c r="E98" s="4" t="n"/>
      <c r="F98" s="4" t="n"/>
      <c r="G98" s="4" t="n"/>
      <c r="H98" s="4" t="n"/>
      <c r="I98" s="4" t="inlineStr">
        <is>
          <t>GPU-Hopper</t>
        </is>
      </c>
      <c r="J98" s="4" t="e">
        <v>#DIV/0!</v>
      </c>
      <c r="K98" s="4" t="e">
        <v>#DIV/0!</v>
      </c>
      <c r="L98" s="4" t="e">
        <v>#DIV/0!</v>
      </c>
      <c r="M98" s="4" t="n"/>
      <c r="N98" s="4" t="inlineStr">
        <is>
          <t>GPU-Hopper/MASS-Hopper</t>
        </is>
      </c>
      <c r="O98" s="4" t="e">
        <v>#DIV/0!</v>
      </c>
      <c r="P98" s="4" t="e">
        <v>#DIV/0!</v>
      </c>
      <c r="Q98" s="4" t="e">
        <v>#DIV/0!</v>
      </c>
    </row>
    <row r="99">
      <c r="A99" s="4" t="inlineStr">
        <is>
          <t>MASS-Hopper</t>
        </is>
      </c>
      <c r="B99" s="4" t="n"/>
      <c r="C99" s="4" t="n"/>
      <c r="D99" s="4" t="n"/>
      <c r="E99" s="4" t="n"/>
      <c r="F99" s="4" t="n"/>
      <c r="G99" s="4" t="n"/>
      <c r="H99" s="4" t="n"/>
      <c r="I99" s="4" t="inlineStr">
        <is>
          <t>MASS-Hopper</t>
        </is>
      </c>
      <c r="J99" s="4" t="e">
        <v>#DIV/0!</v>
      </c>
      <c r="K99" s="4" t="e">
        <v>#DIV/0!</v>
      </c>
      <c r="L99" s="4" t="e">
        <v>#DIV/0!</v>
      </c>
      <c r="M99" s="4" t="n"/>
      <c r="N99" s="4" t="n"/>
      <c r="O99" s="4" t="n"/>
      <c r="P99" s="4" t="n"/>
      <c r="Q99" s="4" t="n"/>
    </row>
    <row r="100"/>
    <row r="101">
      <c r="A101" s="4" t="inlineStr">
        <is>
          <t>yutb</t>
        </is>
      </c>
    </row>
    <row r="102">
      <c r="A102" s="4" t="n"/>
      <c r="B102" s="4" t="inlineStr">
        <is>
          <t>p=0.01%</t>
        </is>
      </c>
      <c r="C102" s="4" t="n"/>
      <c r="D102" s="4" t="n"/>
      <c r="E102" s="4" t="n"/>
      <c r="F102" s="4" t="n"/>
      <c r="G102" s="4" t="n"/>
      <c r="H102" s="4" t="n"/>
      <c r="I102" s="4" t="inlineStr">
        <is>
          <t>ER-p</t>
        </is>
      </c>
      <c r="J102" s="4" t="inlineStr">
        <is>
          <t>p=0.01%</t>
        </is>
      </c>
      <c r="K102" s="4" t="n"/>
      <c r="L102" s="4" t="n"/>
      <c r="M102" s="4" t="n"/>
      <c r="N102" s="4" t="n"/>
      <c r="O102" s="4" t="n"/>
      <c r="P102" s="4" t="n"/>
      <c r="Q102" s="4" t="n"/>
    </row>
    <row r="103">
      <c r="A103" s="4" t="inlineStr">
        <is>
          <t>10 years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inlineStr">
        <is>
          <t>10 years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</row>
    <row r="104">
      <c r="A104" s="4" t="inlineStr">
        <is>
          <t>TIMING (seconds)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inlineStr">
        <is>
          <t>Speedup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</row>
    <row r="105">
      <c r="A105" s="4" t="n"/>
      <c r="B105" s="5" t="n">
        <v>0.01</v>
      </c>
      <c r="C105" s="5" t="n">
        <v>0.03</v>
      </c>
      <c r="D105" s="5" t="n">
        <v>0.06</v>
      </c>
      <c r="E105" s="4" t="n"/>
      <c r="F105" s="5" t="n"/>
      <c r="G105" s="5" t="n"/>
      <c r="H105" s="4" t="n"/>
      <c r="I105" s="4" t="n"/>
      <c r="J105" s="5" t="n">
        <v>0.01</v>
      </c>
      <c r="K105" s="5" t="n">
        <v>0.03</v>
      </c>
      <c r="L105" s="5" t="n">
        <v>0.06</v>
      </c>
      <c r="M105" s="5" t="n"/>
      <c r="N105" s="5" t="n"/>
      <c r="O105" s="5" t="n">
        <v>0.01</v>
      </c>
      <c r="P105" s="5" t="n">
        <v>0.03</v>
      </c>
      <c r="Q105" s="5" t="n">
        <v>0.06</v>
      </c>
    </row>
    <row r="106">
      <c r="A106" s="4" t="inlineStr">
        <is>
          <t>CPU-16T (Intel Xeon Platinum 8480+)</t>
        </is>
      </c>
      <c r="B106" s="4" t="n">
        <v>169.416</v>
      </c>
      <c r="C106" s="4" t="n">
        <v>608.141</v>
      </c>
      <c r="D106" s="4" t="n">
        <v>1806.09</v>
      </c>
      <c r="E106" s="4" t="n"/>
      <c r="F106" s="4" t="n"/>
      <c r="G106" s="4" t="n"/>
      <c r="H106" s="4" t="n"/>
      <c r="I106" s="4" t="inlineStr">
        <is>
          <t>CPU-Serial</t>
        </is>
      </c>
      <c r="J106" s="4" t="e">
        <v>#DIV/0!</v>
      </c>
      <c r="K106" s="4" t="e">
        <v>#DIV/0!</v>
      </c>
      <c r="L106" s="4" t="e">
        <v>#DIV/0!</v>
      </c>
      <c r="M106" s="4" t="n"/>
      <c r="N106" s="4" t="n"/>
      <c r="O106" s="4" t="n"/>
      <c r="P106" s="4" t="n"/>
      <c r="Q106" s="4" t="n"/>
    </row>
    <row r="107">
      <c r="A107" s="4" t="inlineStr">
        <is>
          <t>GPU-Hopper</t>
        </is>
      </c>
      <c r="B107" s="4" t="n">
        <v>42</v>
      </c>
      <c r="C107" s="4" t="n">
        <v>74</v>
      </c>
      <c r="D107" s="4" t="n">
        <v>128</v>
      </c>
      <c r="E107" s="4" t="n"/>
      <c r="F107" s="4" t="n"/>
      <c r="G107" s="4" t="n"/>
      <c r="H107" s="4" t="n"/>
      <c r="I107" s="4" t="inlineStr">
        <is>
          <t>GPU-Hopper</t>
        </is>
      </c>
      <c r="J107" s="4" t="e">
        <v>#DIV/0!</v>
      </c>
      <c r="K107" s="4" t="e">
        <v>#DIV/0!</v>
      </c>
      <c r="L107" s="4" t="e">
        <v>#DIV/0!</v>
      </c>
      <c r="M107" s="4" t="n"/>
      <c r="N107" s="4" t="inlineStr">
        <is>
          <t>GPU-Hopper/MASS-Hopper</t>
        </is>
      </c>
      <c r="O107" s="4" t="e">
        <v>#DIV/0!</v>
      </c>
      <c r="P107" s="4" t="e">
        <v>#DIV/0!</v>
      </c>
      <c r="Q107" s="4" t="e">
        <v>#DIV/0!</v>
      </c>
    </row>
    <row r="108">
      <c r="A108" s="4" t="inlineStr">
        <is>
          <t>MASS-Hopper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inlineStr">
        <is>
          <t>MASS-Hopper</t>
        </is>
      </c>
      <c r="J108" s="4" t="e">
        <v>#DIV/0!</v>
      </c>
      <c r="K108" s="4" t="e">
        <v>#DIV/0!</v>
      </c>
      <c r="L108" s="4" t="e">
        <v>#DIV/0!</v>
      </c>
      <c r="M108" s="4" t="n"/>
      <c r="N108" s="4" t="n"/>
      <c r="O108" s="4" t="n"/>
      <c r="P108" s="4" t="n"/>
      <c r="Q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</row>
    <row r="110">
      <c r="A110" s="4" t="inlineStr">
        <is>
          <t>ER-p</t>
        </is>
      </c>
      <c r="B110" s="4" t="inlineStr">
        <is>
          <t>p=0.03%</t>
        </is>
      </c>
      <c r="C110" s="4" t="n"/>
      <c r="D110" s="4" t="n"/>
      <c r="E110" s="4" t="n"/>
      <c r="F110" s="4" t="n"/>
      <c r="G110" s="4" t="n"/>
      <c r="H110" s="4" t="n"/>
      <c r="I110" s="4" t="inlineStr">
        <is>
          <t>ER-p</t>
        </is>
      </c>
      <c r="J110" s="4" t="inlineStr">
        <is>
          <t>p=0.03%</t>
        </is>
      </c>
      <c r="K110" s="4" t="n"/>
      <c r="L110" s="4" t="n"/>
      <c r="M110" s="4" t="n"/>
      <c r="N110" s="4" t="n"/>
      <c r="O110" s="4" t="n"/>
      <c r="P110" s="4" t="n"/>
      <c r="Q110" s="4" t="n"/>
    </row>
    <row r="111">
      <c r="A111" s="4" t="inlineStr">
        <is>
          <t>3 years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inlineStr">
        <is>
          <t>3 years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</row>
    <row r="112">
      <c r="A112" s="4" t="inlineStr">
        <is>
          <t>TIMING (seconds)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inlineStr">
        <is>
          <t>Speedup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</row>
    <row r="113">
      <c r="A113" s="4" t="n"/>
      <c r="B113" s="5" t="n">
        <v>0.01</v>
      </c>
      <c r="C113" s="5" t="n">
        <v>0.03</v>
      </c>
      <c r="D113" s="5" t="n">
        <v>0.06</v>
      </c>
      <c r="E113" s="4" t="n"/>
      <c r="F113" s="5" t="n"/>
      <c r="G113" s="5" t="n"/>
      <c r="H113" s="4" t="n"/>
      <c r="I113" s="4" t="n"/>
      <c r="J113" s="5" t="n">
        <v>0.01</v>
      </c>
      <c r="K113" s="5" t="n">
        <v>0.03</v>
      </c>
      <c r="L113" s="5" t="n">
        <v>0.06</v>
      </c>
      <c r="M113" s="4" t="n"/>
      <c r="N113" s="5" t="n"/>
      <c r="O113" s="5" t="n">
        <v>0.01</v>
      </c>
      <c r="P113" s="5" t="n">
        <v>0.03</v>
      </c>
      <c r="Q113" s="5" t="n">
        <v>0.06</v>
      </c>
    </row>
    <row r="114">
      <c r="A114" s="4" t="inlineStr">
        <is>
          <t>CPU-16T (Intel Xeon Platinum 8480+)</t>
        </is>
      </c>
      <c r="B114" s="4" t="n">
        <v>361.044</v>
      </c>
      <c r="C114" s="4" t="n">
        <v>1471.075</v>
      </c>
      <c r="D114" s="4" t="n"/>
      <c r="E114" s="4" t="n"/>
      <c r="F114" s="4" t="n"/>
      <c r="G114" s="4" t="n"/>
      <c r="H114" s="4" t="n"/>
      <c r="I114" s="4" t="inlineStr">
        <is>
          <t>CPU-Serial</t>
        </is>
      </c>
      <c r="J114" s="4" t="e">
        <v>#DIV/0!</v>
      </c>
      <c r="K114" s="4" t="e">
        <v>#DIV/0!</v>
      </c>
      <c r="L114" s="4" t="e">
        <v>#DIV/0!</v>
      </c>
      <c r="M114" s="4" t="n"/>
      <c r="N114" s="4" t="n"/>
      <c r="O114" s="4" t="n"/>
      <c r="P114" s="4" t="n"/>
      <c r="Q114" s="4" t="n"/>
    </row>
    <row r="115">
      <c r="A115" s="4" t="inlineStr">
        <is>
          <t>GPU-Hopper</t>
        </is>
      </c>
      <c r="B115" s="4" t="n">
        <v>50</v>
      </c>
      <c r="C115" s="4" t="n">
        <v>102</v>
      </c>
      <c r="D115" s="4" t="n">
        <v>222</v>
      </c>
      <c r="E115" s="4" t="n"/>
      <c r="F115" s="4" t="n"/>
      <c r="G115" s="4" t="n"/>
      <c r="H115" s="4" t="n"/>
      <c r="I115" s="4" t="inlineStr">
        <is>
          <t>GPU-Hopper</t>
        </is>
      </c>
      <c r="J115" s="4" t="e">
        <v>#DIV/0!</v>
      </c>
      <c r="K115" s="4" t="e">
        <v>#DIV/0!</v>
      </c>
      <c r="L115" s="4" t="e">
        <v>#DIV/0!</v>
      </c>
      <c r="M115" s="4" t="n"/>
      <c r="N115" s="4" t="inlineStr">
        <is>
          <t>GPU-Hopper/MASS-Hopper</t>
        </is>
      </c>
      <c r="O115" s="4" t="e">
        <v>#DIV/0!</v>
      </c>
      <c r="P115" s="4" t="e">
        <v>#DIV/0!</v>
      </c>
      <c r="Q115" s="4" t="e">
        <v>#DIV/0!</v>
      </c>
    </row>
    <row r="116">
      <c r="A116" s="4" t="inlineStr">
        <is>
          <t>MASS-Hopper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inlineStr">
        <is>
          <t>MASS-Hopper</t>
        </is>
      </c>
      <c r="J116" s="4" t="e">
        <v>#DIV/0!</v>
      </c>
      <c r="K116" s="4" t="e">
        <v>#DIV/0!</v>
      </c>
      <c r="L116" s="4" t="e">
        <v>#DIV/0!</v>
      </c>
      <c r="M116" s="4" t="n"/>
      <c r="N116" s="4" t="n"/>
      <c r="O116" s="4" t="n"/>
      <c r="P116" s="4" t="n"/>
      <c r="Q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</row>
    <row r="118">
      <c r="A118" s="4" t="inlineStr">
        <is>
          <t>ER-p</t>
        </is>
      </c>
      <c r="B118" s="4" t="inlineStr">
        <is>
          <t>p=0.05%</t>
        </is>
      </c>
      <c r="C118" s="4" t="n"/>
      <c r="D118" s="4" t="n"/>
      <c r="E118" s="4" t="n"/>
      <c r="F118" s="4" t="n"/>
      <c r="G118" s="4" t="n"/>
      <c r="H118" s="4" t="n"/>
      <c r="I118" s="4" t="inlineStr">
        <is>
          <t>ER-p</t>
        </is>
      </c>
      <c r="J118" s="4" t="inlineStr">
        <is>
          <t>p=0.05%</t>
        </is>
      </c>
      <c r="K118" s="4" t="n"/>
      <c r="L118" s="4" t="n"/>
      <c r="M118" s="4" t="n"/>
      <c r="N118" s="4" t="n"/>
      <c r="O118" s="4" t="n"/>
      <c r="P118" s="4" t="n"/>
      <c r="Q118" s="4" t="n"/>
    </row>
    <row r="119">
      <c r="A119" s="4" t="inlineStr">
        <is>
          <t>10 years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inlineStr">
        <is>
          <t>10 years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</row>
    <row r="120">
      <c r="A120" s="4" t="inlineStr">
        <is>
          <t>TIMING (seconds)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inlineStr">
        <is>
          <t>Speedup</t>
        </is>
      </c>
      <c r="J120" s="4" t="n"/>
      <c r="K120" s="4" t="n"/>
      <c r="L120" s="4" t="n"/>
      <c r="M120" s="5" t="n"/>
      <c r="N120" s="5" t="n"/>
      <c r="O120" s="5" t="n"/>
      <c r="P120" s="5" t="n"/>
      <c r="Q120" s="5" t="n"/>
    </row>
    <row r="121">
      <c r="A121" s="4" t="n"/>
      <c r="B121" s="5" t="n">
        <v>0.01</v>
      </c>
      <c r="C121" s="5" t="n">
        <v>0.03</v>
      </c>
      <c r="D121" s="5" t="n">
        <v>0.06</v>
      </c>
      <c r="E121" s="4" t="n"/>
      <c r="F121" s="5" t="n"/>
      <c r="G121" s="5" t="n"/>
      <c r="H121" s="4" t="n"/>
      <c r="I121" s="4" t="n"/>
      <c r="J121" s="5" t="n">
        <v>0.01</v>
      </c>
      <c r="K121" s="5" t="n">
        <v>0.03</v>
      </c>
      <c r="L121" s="5" t="n">
        <v>0.06</v>
      </c>
      <c r="M121" s="4" t="n"/>
      <c r="N121" s="5" t="n"/>
      <c r="O121" s="5" t="n">
        <v>0.01</v>
      </c>
      <c r="P121" s="5" t="n">
        <v>0.03</v>
      </c>
      <c r="Q121" s="5" t="n">
        <v>0.06</v>
      </c>
    </row>
    <row r="122">
      <c r="A122" s="4" t="inlineStr">
        <is>
          <t>CPU-16T (Intel Xeon Platinum 8480+)</t>
        </is>
      </c>
      <c r="B122" s="4" t="n">
        <v>511.523</v>
      </c>
      <c r="C122" s="4" t="n">
        <v>1973.832</v>
      </c>
      <c r="D122" s="4" t="n"/>
      <c r="E122" s="4" t="n"/>
      <c r="F122" s="4" t="n"/>
      <c r="G122" s="4" t="n"/>
      <c r="H122" s="4" t="n"/>
      <c r="I122" s="4" t="inlineStr">
        <is>
          <t>CPU-Serial</t>
        </is>
      </c>
      <c r="J122" s="4" t="e">
        <v>#DIV/0!</v>
      </c>
      <c r="K122" s="4" t="e">
        <v>#DIV/0!</v>
      </c>
      <c r="L122" s="4" t="e">
        <v>#DIV/0!</v>
      </c>
      <c r="M122" s="4" t="n"/>
      <c r="N122" s="4" t="n"/>
      <c r="O122" s="4" t="n"/>
      <c r="P122" s="4" t="n"/>
      <c r="Q122" s="4" t="n"/>
    </row>
    <row r="123">
      <c r="A123" s="4" t="inlineStr">
        <is>
          <t>GPU-Hopper</t>
        </is>
      </c>
      <c r="B123" s="4" t="n">
        <v>66</v>
      </c>
      <c r="C123" s="4" t="n">
        <v>134</v>
      </c>
      <c r="D123" s="4" t="n">
        <v>324</v>
      </c>
      <c r="E123" s="4" t="n"/>
      <c r="F123" s="4" t="n"/>
      <c r="G123" s="4" t="n"/>
      <c r="H123" s="4" t="n"/>
      <c r="I123" s="4" t="inlineStr">
        <is>
          <t>GPU-Hopper</t>
        </is>
      </c>
      <c r="J123" s="4" t="e">
        <v>#DIV/0!</v>
      </c>
      <c r="K123" s="4" t="e">
        <v>#DIV/0!</v>
      </c>
      <c r="L123" s="4" t="e">
        <v>#DIV/0!</v>
      </c>
      <c r="M123" s="4" t="n"/>
      <c r="N123" s="4" t="inlineStr">
        <is>
          <t>GPU-Hopper/MASS-Hopper</t>
        </is>
      </c>
      <c r="O123" s="4" t="e">
        <v>#DIV/0!</v>
      </c>
      <c r="P123" s="4" t="e">
        <v>#DIV/0!</v>
      </c>
      <c r="Q123" s="4" t="e">
        <v>#DIV/0!</v>
      </c>
    </row>
    <row r="124">
      <c r="A124" s="4" t="inlineStr">
        <is>
          <t>MASS-Hopper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inlineStr">
        <is>
          <t>MASS-Hopper</t>
        </is>
      </c>
      <c r="J124" s="4" t="e">
        <v>#DIV/0!</v>
      </c>
      <c r="K124" s="4" t="e">
        <v>#DIV/0!</v>
      </c>
      <c r="L124" s="4" t="e">
        <v>#DIV/0!</v>
      </c>
      <c r="M124" s="4" t="n"/>
      <c r="N124" s="4" t="n"/>
      <c r="O124" s="4" t="n"/>
      <c r="P124" s="4" t="n"/>
      <c r="Q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</row>
    <row r="126">
      <c r="A126" s="4" t="inlineStr">
        <is>
          <t>ER-p</t>
        </is>
      </c>
      <c r="B126" s="4" t="inlineStr">
        <is>
          <t>p=0.1%</t>
        </is>
      </c>
      <c r="C126" s="4" t="n"/>
      <c r="D126" s="4" t="n"/>
      <c r="E126" s="4" t="n"/>
      <c r="F126" s="4" t="n"/>
      <c r="G126" s="4" t="n"/>
      <c r="H126" s="4" t="n"/>
      <c r="I126" s="4" t="inlineStr">
        <is>
          <t>ER-p</t>
        </is>
      </c>
      <c r="J126" s="4" t="inlineStr">
        <is>
          <t>p=0.1%</t>
        </is>
      </c>
      <c r="K126" s="4" t="n"/>
      <c r="L126" s="4" t="n"/>
      <c r="M126" s="4" t="n"/>
      <c r="N126" s="4" t="n"/>
      <c r="O126" s="4" t="n"/>
      <c r="P126" s="4" t="n"/>
      <c r="Q126" s="4" t="n"/>
    </row>
    <row r="127">
      <c r="A127" s="4" t="inlineStr">
        <is>
          <t>3 years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inlineStr">
        <is>
          <t>3 years</t>
        </is>
      </c>
      <c r="J127" s="4" t="n"/>
      <c r="K127" s="4" t="n"/>
      <c r="L127" s="4" t="n"/>
      <c r="M127" s="4" t="n"/>
      <c r="N127" s="4" t="n"/>
      <c r="O127" s="4" t="n"/>
      <c r="P127" s="4" t="n"/>
      <c r="Q127" s="4" t="n"/>
    </row>
    <row r="128">
      <c r="A128" s="4" t="inlineStr">
        <is>
          <t>TIMING (seconds)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inlineStr">
        <is>
          <t>Speedup</t>
        </is>
      </c>
      <c r="J128" s="4" t="n"/>
      <c r="K128" s="4" t="n"/>
      <c r="L128" s="4" t="n"/>
      <c r="M128" s="4" t="n"/>
      <c r="N128" s="4" t="n"/>
      <c r="O128" s="4" t="n"/>
      <c r="P128" s="4" t="n"/>
      <c r="Q128" s="4" t="n"/>
    </row>
    <row r="129">
      <c r="A129" s="4" t="n"/>
      <c r="B129" s="5" t="n">
        <v>0.01</v>
      </c>
      <c r="C129" s="5" t="n">
        <v>0.03</v>
      </c>
      <c r="D129" s="5" t="n">
        <v>0.06</v>
      </c>
      <c r="E129" s="4" t="n"/>
      <c r="F129" s="5" t="n"/>
      <c r="G129" s="5" t="n"/>
      <c r="H129" s="4" t="n"/>
      <c r="I129" s="4" t="n"/>
      <c r="J129" s="5" t="n">
        <v>0.01</v>
      </c>
      <c r="K129" s="5" t="n">
        <v>0.03</v>
      </c>
      <c r="L129" s="5" t="n">
        <v>0.06</v>
      </c>
      <c r="M129" s="5" t="n"/>
      <c r="N129" s="5" t="n"/>
      <c r="O129" s="5" t="n">
        <v>0.01</v>
      </c>
      <c r="P129" s="5" t="n">
        <v>0.03</v>
      </c>
      <c r="Q129" s="5" t="n">
        <v>0.06</v>
      </c>
    </row>
    <row r="130">
      <c r="A130" s="4" t="inlineStr">
        <is>
          <t>CPU-16T (Intel Xeon Platinum 8480+)</t>
        </is>
      </c>
      <c r="B130" s="4" t="n">
        <v>980.4</v>
      </c>
      <c r="C130" s="4" t="n"/>
      <c r="D130" s="4" t="n"/>
      <c r="E130" s="4" t="n"/>
      <c r="F130" s="4" t="n"/>
      <c r="G130" s="4" t="n"/>
      <c r="H130" s="4" t="n"/>
      <c r="I130" s="4" t="inlineStr">
        <is>
          <t>CPU-Serial</t>
        </is>
      </c>
      <c r="J130" s="4" t="e">
        <v>#DIV/0!</v>
      </c>
      <c r="K130" s="4" t="e">
        <v>#DIV/0!</v>
      </c>
      <c r="L130" s="4" t="e">
        <v>#DIV/0!</v>
      </c>
      <c r="M130" s="4" t="n"/>
      <c r="N130" s="4" t="n"/>
      <c r="O130" s="4" t="n"/>
      <c r="P130" s="4" t="n"/>
      <c r="Q130" s="4" t="n"/>
    </row>
    <row r="131">
      <c r="A131" s="4" t="inlineStr">
        <is>
          <t>GPU-Hopper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inlineStr">
        <is>
          <t>GPU-Hopper</t>
        </is>
      </c>
      <c r="J131" s="4" t="e">
        <v>#DIV/0!</v>
      </c>
      <c r="K131" s="4" t="e">
        <v>#DIV/0!</v>
      </c>
      <c r="L131" s="4" t="e">
        <v>#DIV/0!</v>
      </c>
      <c r="M131" s="4" t="n"/>
      <c r="N131" s="4" t="inlineStr">
        <is>
          <t>GPU-Hopper/MASS-Hopper</t>
        </is>
      </c>
      <c r="O131" s="4" t="e">
        <v>#DIV/0!</v>
      </c>
      <c r="P131" s="4" t="e">
        <v>#DIV/0!</v>
      </c>
      <c r="Q131" s="4" t="e">
        <v>#DIV/0!</v>
      </c>
    </row>
    <row r="132">
      <c r="A132" s="4" t="inlineStr">
        <is>
          <t>MASS-Hopper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inlineStr">
        <is>
          <t>MASS-Hopper</t>
        </is>
      </c>
      <c r="J132" s="4" t="e">
        <v>#DIV/0!</v>
      </c>
      <c r="K132" s="4" t="e">
        <v>#DIV/0!</v>
      </c>
      <c r="L132" s="4" t="e">
        <v>#DIV/0!</v>
      </c>
      <c r="M132" s="4" t="n"/>
      <c r="N132" s="4" t="n"/>
      <c r="O132" s="4" t="n"/>
      <c r="P132" s="4" t="n"/>
      <c r="Q132" s="4" t="n"/>
    </row>
    <row r="133"/>
    <row r="134">
      <c r="A134" s="4" t="inlineStr">
        <is>
          <t>twt</t>
        </is>
      </c>
    </row>
    <row r="135">
      <c r="A135" s="4" t="n"/>
      <c r="B135" s="4" t="inlineStr">
        <is>
          <t>p=0.01%</t>
        </is>
      </c>
      <c r="C135" s="4" t="n"/>
      <c r="D135" s="4" t="n"/>
      <c r="E135" s="4" t="n"/>
      <c r="F135" s="4" t="n"/>
      <c r="G135" s="4" t="n"/>
      <c r="H135" s="4" t="n"/>
      <c r="I135" s="4" t="inlineStr">
        <is>
          <t>ER-p</t>
        </is>
      </c>
      <c r="J135" s="4" t="inlineStr">
        <is>
          <t>p=0.01%</t>
        </is>
      </c>
      <c r="K135" s="4" t="n"/>
      <c r="L135" s="4" t="n"/>
      <c r="M135" s="4" t="n"/>
      <c r="N135" s="4" t="n"/>
      <c r="O135" s="4" t="n"/>
      <c r="P135" s="4" t="n"/>
      <c r="Q135" s="4" t="n"/>
    </row>
    <row r="136">
      <c r="A136" s="4" t="inlineStr">
        <is>
          <t>10 years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inlineStr">
        <is>
          <t>10 years</t>
        </is>
      </c>
      <c r="J136" s="4" t="n"/>
      <c r="K136" s="4" t="n"/>
      <c r="L136" s="4" t="n"/>
      <c r="M136" s="4" t="n"/>
      <c r="N136" s="4" t="n"/>
      <c r="O136" s="4" t="n"/>
      <c r="P136" s="4" t="n"/>
      <c r="Q136" s="4" t="n"/>
    </row>
    <row r="137">
      <c r="A137" s="4" t="inlineStr">
        <is>
          <t>TIMING (seconds)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inlineStr">
        <is>
          <t>Speedup</t>
        </is>
      </c>
      <c r="J137" s="4" t="n"/>
      <c r="K137" s="4" t="n"/>
      <c r="L137" s="4" t="n"/>
      <c r="M137" s="4" t="n"/>
      <c r="N137" s="4" t="n"/>
      <c r="O137" s="4" t="n"/>
      <c r="P137" s="4" t="n"/>
      <c r="Q137" s="4" t="n"/>
    </row>
    <row r="138">
      <c r="A138" s="4" t="n"/>
      <c r="B138" s="5" t="n">
        <v>0.01</v>
      </c>
      <c r="C138" s="5" t="n">
        <v>0.03</v>
      </c>
      <c r="D138" s="5" t="n">
        <v>0.06</v>
      </c>
      <c r="E138" s="4" t="n"/>
      <c r="F138" s="5" t="n"/>
      <c r="G138" s="5" t="n"/>
      <c r="H138" s="4" t="n"/>
      <c r="I138" s="4" t="n"/>
      <c r="J138" s="5" t="n">
        <v>0.01</v>
      </c>
      <c r="K138" s="5" t="n">
        <v>0.03</v>
      </c>
      <c r="L138" s="5" t="n">
        <v>0.06</v>
      </c>
      <c r="M138" s="5" t="n"/>
      <c r="N138" s="5" t="n"/>
      <c r="O138" s="5" t="n">
        <v>0.01</v>
      </c>
      <c r="P138" s="5" t="n">
        <v>0.03</v>
      </c>
      <c r="Q138" s="5" t="n">
        <v>0.06</v>
      </c>
    </row>
    <row r="139">
      <c r="A139" s="4" t="inlineStr">
        <is>
          <t>CPU-16T (Intel Xeon Platinum 8480+)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inlineStr">
        <is>
          <t>CPU-Serial</t>
        </is>
      </c>
      <c r="J139" s="4" t="e">
        <v>#DIV/0!</v>
      </c>
      <c r="K139" s="4" t="e">
        <v>#DIV/0!</v>
      </c>
      <c r="L139" s="4" t="e">
        <v>#DIV/0!</v>
      </c>
      <c r="M139" s="4" t="n"/>
      <c r="N139" s="4" t="n"/>
      <c r="O139" s="4" t="n"/>
      <c r="P139" s="4" t="n"/>
      <c r="Q139" s="4" t="n"/>
    </row>
    <row r="140">
      <c r="A140" s="4" t="inlineStr">
        <is>
          <t>GPU-Hopper</t>
        </is>
      </c>
      <c r="B140" s="4" t="n">
        <v>6</v>
      </c>
      <c r="C140" s="4" t="n">
        <v>6</v>
      </c>
      <c r="D140" s="4" t="n">
        <v>9</v>
      </c>
      <c r="E140" s="4" t="n"/>
      <c r="F140" s="4" t="n"/>
      <c r="G140" s="4" t="n"/>
      <c r="H140" s="4" t="n"/>
      <c r="I140" s="4" t="inlineStr">
        <is>
          <t>GPU-Hopper</t>
        </is>
      </c>
      <c r="J140" s="4" t="e">
        <v>#DIV/0!</v>
      </c>
      <c r="K140" s="4" t="e">
        <v>#DIV/0!</v>
      </c>
      <c r="L140" s="4" t="e">
        <v>#DIV/0!</v>
      </c>
      <c r="M140" s="4" t="n"/>
      <c r="N140" s="4" t="inlineStr">
        <is>
          <t>GPU-Hopper/MASS-Hopper</t>
        </is>
      </c>
      <c r="O140" s="4" t="e">
        <v>#DIV/0!</v>
      </c>
      <c r="P140" s="4" t="e">
        <v>#DIV/0!</v>
      </c>
      <c r="Q140" s="4" t="e">
        <v>#DIV/0!</v>
      </c>
    </row>
    <row r="141">
      <c r="A141" s="4" t="inlineStr">
        <is>
          <t>MASS-Hopper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inlineStr">
        <is>
          <t>MASS-Hopper</t>
        </is>
      </c>
      <c r="J141" s="4" t="e">
        <v>#DIV/0!</v>
      </c>
      <c r="K141" s="4" t="e">
        <v>#DIV/0!</v>
      </c>
      <c r="L141" s="4" t="e">
        <v>#DIV/0!</v>
      </c>
      <c r="M141" s="4" t="n"/>
      <c r="N141" s="4" t="n"/>
      <c r="O141" s="4" t="n"/>
      <c r="P141" s="4" t="n"/>
      <c r="Q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>
      <c r="A143" s="4" t="inlineStr">
        <is>
          <t>ER-p</t>
        </is>
      </c>
      <c r="B143" s="4" t="inlineStr">
        <is>
          <t>p=0.03%</t>
        </is>
      </c>
      <c r="C143" s="4" t="n"/>
      <c r="D143" s="4" t="n"/>
      <c r="E143" s="4" t="n"/>
      <c r="F143" s="4" t="n"/>
      <c r="G143" s="4" t="n"/>
      <c r="H143" s="4" t="n"/>
      <c r="I143" s="4" t="inlineStr">
        <is>
          <t>ER-p</t>
        </is>
      </c>
      <c r="J143" s="4" t="inlineStr">
        <is>
          <t>p=0.03%</t>
        </is>
      </c>
      <c r="K143" s="4" t="n"/>
      <c r="L143" s="4" t="n"/>
      <c r="M143" s="4" t="n"/>
      <c r="N143" s="4" t="n"/>
      <c r="O143" s="4" t="n"/>
      <c r="P143" s="4" t="n"/>
      <c r="Q143" s="4" t="n"/>
    </row>
    <row r="144">
      <c r="A144" s="4" t="inlineStr">
        <is>
          <t>3 years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inlineStr">
        <is>
          <t>3 years</t>
        </is>
      </c>
      <c r="J144" s="4" t="n"/>
      <c r="K144" s="4" t="n"/>
      <c r="L144" s="4" t="n"/>
      <c r="M144" s="4" t="n"/>
      <c r="N144" s="4" t="n"/>
      <c r="O144" s="4" t="n"/>
      <c r="P144" s="4" t="n"/>
      <c r="Q144" s="4" t="n"/>
    </row>
    <row r="145">
      <c r="A145" s="4" t="inlineStr">
        <is>
          <t>TIMING (seconds)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inlineStr">
        <is>
          <t>Speedup</t>
        </is>
      </c>
      <c r="J145" s="4" t="n"/>
      <c r="K145" s="4" t="n"/>
      <c r="L145" s="4" t="n"/>
      <c r="M145" s="4" t="n"/>
      <c r="N145" s="4" t="n"/>
      <c r="O145" s="4" t="n"/>
      <c r="P145" s="4" t="n"/>
      <c r="Q145" s="4" t="n"/>
    </row>
    <row r="146">
      <c r="A146" s="4" t="n"/>
      <c r="B146" s="5" t="n">
        <v>0.01</v>
      </c>
      <c r="C146" s="5" t="n">
        <v>0.03</v>
      </c>
      <c r="D146" s="5" t="n">
        <v>0.06</v>
      </c>
      <c r="E146" s="4" t="n"/>
      <c r="F146" s="5" t="n"/>
      <c r="G146" s="5" t="n"/>
      <c r="H146" s="4" t="n"/>
      <c r="I146" s="4" t="n"/>
      <c r="J146" s="5" t="n">
        <v>0.01</v>
      </c>
      <c r="K146" s="5" t="n">
        <v>0.03</v>
      </c>
      <c r="L146" s="5" t="n">
        <v>0.06</v>
      </c>
      <c r="M146" s="4" t="n"/>
      <c r="N146" s="5" t="n"/>
      <c r="O146" s="5" t="n">
        <v>0.01</v>
      </c>
      <c r="P146" s="5" t="n">
        <v>0.03</v>
      </c>
      <c r="Q146" s="5" t="n">
        <v>0.06</v>
      </c>
    </row>
    <row r="147">
      <c r="A147" s="4" t="inlineStr">
        <is>
          <t>CPU-16T (Intel Xeon Platinum 8480+)</t>
        </is>
      </c>
      <c r="B147" s="4" t="n">
        <v>7.696</v>
      </c>
      <c r="C147" s="4" t="n">
        <v>10.859</v>
      </c>
      <c r="D147" s="4" t="n">
        <v>26.204</v>
      </c>
      <c r="E147" s="4" t="n"/>
      <c r="F147" s="4" t="n"/>
      <c r="G147" s="4" t="n"/>
      <c r="H147" s="4" t="n"/>
      <c r="I147" s="4" t="inlineStr">
        <is>
          <t>CPU-Serial</t>
        </is>
      </c>
      <c r="J147" s="4" t="e">
        <v>#DIV/0!</v>
      </c>
      <c r="K147" s="4" t="e">
        <v>#DIV/0!</v>
      </c>
      <c r="L147" s="4" t="e">
        <v>#DIV/0!</v>
      </c>
      <c r="M147" s="4" t="n"/>
      <c r="N147" s="4" t="n"/>
      <c r="O147" s="4" t="n"/>
      <c r="P147" s="4" t="n"/>
      <c r="Q147" s="4" t="n"/>
    </row>
    <row r="148">
      <c r="A148" s="4" t="inlineStr">
        <is>
          <t>GPU-Hopper</t>
        </is>
      </c>
      <c r="B148" s="4" t="n">
        <v>6</v>
      </c>
      <c r="C148" s="4" t="n">
        <v>8</v>
      </c>
      <c r="D148" s="4" t="n">
        <v>10</v>
      </c>
      <c r="E148" s="4" t="n"/>
      <c r="F148" s="4" t="n"/>
      <c r="G148" s="4" t="n"/>
      <c r="H148" s="4" t="n"/>
      <c r="I148" s="4" t="inlineStr">
        <is>
          <t>GPU-Hopper</t>
        </is>
      </c>
      <c r="J148" s="4" t="e">
        <v>#DIV/0!</v>
      </c>
      <c r="K148" s="4" t="e">
        <v>#DIV/0!</v>
      </c>
      <c r="L148" s="4" t="e">
        <v>#DIV/0!</v>
      </c>
      <c r="M148" s="4" t="n"/>
      <c r="N148" s="4" t="inlineStr">
        <is>
          <t>GPU-Hopper/MASS-Hopper</t>
        </is>
      </c>
      <c r="O148" s="4" t="e">
        <v>#DIV/0!</v>
      </c>
      <c r="P148" s="4" t="e">
        <v>#DIV/0!</v>
      </c>
      <c r="Q148" s="4" t="e">
        <v>#DIV/0!</v>
      </c>
    </row>
    <row r="149">
      <c r="A149" s="4" t="inlineStr">
        <is>
          <t>MASS-Hopper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inlineStr">
        <is>
          <t>MASS-Hopper</t>
        </is>
      </c>
      <c r="J149" s="4" t="e">
        <v>#DIV/0!</v>
      </c>
      <c r="K149" s="4" t="e">
        <v>#DIV/0!</v>
      </c>
      <c r="L149" s="4" t="e">
        <v>#DIV/0!</v>
      </c>
      <c r="M149" s="4" t="n"/>
      <c r="N149" s="4" t="n"/>
      <c r="O149" s="4" t="n"/>
      <c r="P149" s="4" t="n"/>
      <c r="Q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</row>
    <row r="151">
      <c r="A151" s="4" t="inlineStr">
        <is>
          <t>ER-p</t>
        </is>
      </c>
      <c r="B151" s="4" t="inlineStr">
        <is>
          <t>p=0.05%</t>
        </is>
      </c>
      <c r="C151" s="4" t="n"/>
      <c r="D151" s="4" t="n"/>
      <c r="E151" s="4" t="n"/>
      <c r="F151" s="4" t="n"/>
      <c r="G151" s="4" t="n"/>
      <c r="H151" s="4" t="n"/>
      <c r="I151" s="4" t="inlineStr">
        <is>
          <t>ER-p</t>
        </is>
      </c>
      <c r="J151" s="4" t="inlineStr">
        <is>
          <t>p=0.05%</t>
        </is>
      </c>
      <c r="K151" s="4" t="n"/>
      <c r="L151" s="4" t="n"/>
      <c r="M151" s="4" t="n"/>
      <c r="N151" s="4" t="n"/>
      <c r="O151" s="4" t="n"/>
      <c r="P151" s="4" t="n"/>
      <c r="Q151" s="4" t="n"/>
    </row>
    <row r="152">
      <c r="A152" s="4" t="inlineStr">
        <is>
          <t>10 years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inlineStr">
        <is>
          <t>10 years</t>
        </is>
      </c>
      <c r="J152" s="4" t="n"/>
      <c r="K152" s="4" t="n"/>
      <c r="L152" s="4" t="n"/>
      <c r="M152" s="4" t="n"/>
      <c r="N152" s="4" t="n"/>
      <c r="O152" s="4" t="n"/>
      <c r="P152" s="4" t="n"/>
      <c r="Q152" s="4" t="n"/>
    </row>
    <row r="153">
      <c r="A153" s="4" t="inlineStr">
        <is>
          <t>TIMING (seconds)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inlineStr">
        <is>
          <t>Speedup</t>
        </is>
      </c>
      <c r="J153" s="4" t="n"/>
      <c r="K153" s="4" t="n"/>
      <c r="L153" s="4" t="n"/>
      <c r="M153" s="5" t="n"/>
      <c r="N153" s="5" t="n"/>
      <c r="O153" s="5" t="n"/>
      <c r="P153" s="5" t="n"/>
      <c r="Q153" s="5" t="n"/>
    </row>
    <row r="154">
      <c r="A154" s="4" t="n"/>
      <c r="B154" s="5" t="n">
        <v>0.01</v>
      </c>
      <c r="C154" s="5" t="n">
        <v>0.03</v>
      </c>
      <c r="D154" s="5" t="n">
        <v>0.06</v>
      </c>
      <c r="E154" s="4" t="n"/>
      <c r="F154" s="5" t="n"/>
      <c r="G154" s="5" t="n"/>
      <c r="H154" s="4" t="n"/>
      <c r="I154" s="4" t="n"/>
      <c r="J154" s="5" t="n">
        <v>0.01</v>
      </c>
      <c r="K154" s="5" t="n">
        <v>0.03</v>
      </c>
      <c r="L154" s="5" t="n">
        <v>0.06</v>
      </c>
      <c r="M154" s="4" t="n"/>
      <c r="N154" s="5" t="n"/>
      <c r="O154" s="5" t="n">
        <v>0.01</v>
      </c>
      <c r="P154" s="5" t="n">
        <v>0.03</v>
      </c>
      <c r="Q154" s="5" t="n">
        <v>0.06</v>
      </c>
    </row>
    <row r="155">
      <c r="A155" s="4" t="inlineStr">
        <is>
          <t>CPU-16T (Intel Xeon Platinum 8480+)</t>
        </is>
      </c>
      <c r="B155" s="4" t="n">
        <v>7.923</v>
      </c>
      <c r="C155" s="4" t="n">
        <v>11.972</v>
      </c>
      <c r="D155" s="4" t="n">
        <v>27.058</v>
      </c>
      <c r="E155" s="4" t="n"/>
      <c r="F155" s="4" t="n"/>
      <c r="G155" s="4" t="n"/>
      <c r="H155" s="4" t="n"/>
      <c r="I155" s="4" t="inlineStr">
        <is>
          <t>CPU-Serial</t>
        </is>
      </c>
      <c r="J155" s="4" t="e">
        <v>#DIV/0!</v>
      </c>
      <c r="K155" s="4" t="e">
        <v>#DIV/0!</v>
      </c>
      <c r="L155" s="4" t="e">
        <v>#DIV/0!</v>
      </c>
      <c r="M155" s="4" t="n"/>
      <c r="N155" s="4" t="n"/>
      <c r="O155" s="4" t="n"/>
      <c r="P155" s="4" t="n"/>
      <c r="Q155" s="4" t="n"/>
    </row>
    <row r="156">
      <c r="A156" s="4" t="inlineStr">
        <is>
          <t>GPU-Hopper</t>
        </is>
      </c>
      <c r="B156" s="4" t="n">
        <v>6</v>
      </c>
      <c r="C156" s="4" t="n">
        <v>8</v>
      </c>
      <c r="D156" s="4" t="n">
        <v>10</v>
      </c>
      <c r="E156" s="4" t="n"/>
      <c r="F156" s="4" t="n"/>
      <c r="G156" s="4" t="n"/>
      <c r="H156" s="4" t="n"/>
      <c r="I156" s="4" t="inlineStr">
        <is>
          <t>GPU-Hopper</t>
        </is>
      </c>
      <c r="J156" s="4" t="e">
        <v>#DIV/0!</v>
      </c>
      <c r="K156" s="4" t="e">
        <v>#DIV/0!</v>
      </c>
      <c r="L156" s="4" t="e">
        <v>#DIV/0!</v>
      </c>
      <c r="M156" s="4" t="n"/>
      <c r="N156" s="4" t="inlineStr">
        <is>
          <t>GPU-Hopper/MASS-Hopper</t>
        </is>
      </c>
      <c r="O156" s="4" t="e">
        <v>#DIV/0!</v>
      </c>
      <c r="P156" s="4" t="e">
        <v>#DIV/0!</v>
      </c>
      <c r="Q156" s="4" t="e">
        <v>#DIV/0!</v>
      </c>
    </row>
    <row r="157">
      <c r="A157" s="4" t="inlineStr">
        <is>
          <t>MASS-Hopper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inlineStr">
        <is>
          <t>MASS-Hopper</t>
        </is>
      </c>
      <c r="J157" s="4" t="e">
        <v>#DIV/0!</v>
      </c>
      <c r="K157" s="4" t="e">
        <v>#DIV/0!</v>
      </c>
      <c r="L157" s="4" t="e">
        <v>#DIV/0!</v>
      </c>
      <c r="M157" s="4" t="n"/>
      <c r="N157" s="4" t="n"/>
      <c r="O157" s="4" t="n"/>
      <c r="P157" s="4" t="n"/>
      <c r="Q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</row>
    <row r="159">
      <c r="A159" s="4" t="inlineStr">
        <is>
          <t>ER-p</t>
        </is>
      </c>
      <c r="B159" s="4" t="inlineStr">
        <is>
          <t>p=0.1%</t>
        </is>
      </c>
      <c r="C159" s="4" t="n"/>
      <c r="D159" s="4" t="n"/>
      <c r="E159" s="4" t="n"/>
      <c r="F159" s="4" t="n"/>
      <c r="G159" s="4" t="n"/>
      <c r="H159" s="4" t="n"/>
      <c r="I159" s="4" t="inlineStr">
        <is>
          <t>ER-p</t>
        </is>
      </c>
      <c r="J159" s="4" t="inlineStr">
        <is>
          <t>p=0.1%</t>
        </is>
      </c>
      <c r="K159" s="4" t="n"/>
      <c r="L159" s="4" t="n"/>
      <c r="M159" s="4" t="n"/>
      <c r="N159" s="4" t="n"/>
      <c r="O159" s="4" t="n"/>
      <c r="P159" s="4" t="n"/>
      <c r="Q159" s="4" t="n"/>
    </row>
    <row r="160">
      <c r="A160" s="4" t="inlineStr">
        <is>
          <t>3 years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inlineStr">
        <is>
          <t>3 years</t>
        </is>
      </c>
      <c r="J160" s="4" t="n"/>
      <c r="K160" s="4" t="n"/>
      <c r="L160" s="4" t="n"/>
      <c r="M160" s="4" t="n"/>
      <c r="N160" s="4" t="n"/>
      <c r="O160" s="4" t="n"/>
      <c r="P160" s="4" t="n"/>
      <c r="Q160" s="4" t="n"/>
    </row>
    <row r="161">
      <c r="A161" s="4" t="inlineStr">
        <is>
          <t>TIMING (seconds)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inlineStr">
        <is>
          <t>Speedup</t>
        </is>
      </c>
      <c r="J161" s="4" t="n"/>
      <c r="K161" s="4" t="n"/>
      <c r="L161" s="4" t="n"/>
      <c r="M161" s="4" t="n"/>
      <c r="N161" s="4" t="n"/>
      <c r="O161" s="4" t="n"/>
      <c r="P161" s="4" t="n"/>
      <c r="Q161" s="4" t="n"/>
    </row>
    <row r="162">
      <c r="A162" s="4" t="n"/>
      <c r="B162" s="5" t="n">
        <v>0.01</v>
      </c>
      <c r="C162" s="5" t="n">
        <v>0.03</v>
      </c>
      <c r="D162" s="5" t="n">
        <v>0.06</v>
      </c>
      <c r="E162" s="4" t="n"/>
      <c r="F162" s="5" t="n"/>
      <c r="G162" s="5" t="n"/>
      <c r="H162" s="4" t="n"/>
      <c r="I162" s="4" t="n"/>
      <c r="J162" s="5" t="n">
        <v>0.01</v>
      </c>
      <c r="K162" s="5" t="n">
        <v>0.03</v>
      </c>
      <c r="L162" s="5" t="n">
        <v>0.06</v>
      </c>
      <c r="M162" s="5" t="n"/>
      <c r="N162" s="5" t="n"/>
      <c r="O162" s="5" t="n">
        <v>0.01</v>
      </c>
      <c r="P162" s="5" t="n">
        <v>0.03</v>
      </c>
      <c r="Q162" s="5" t="n">
        <v>0.06</v>
      </c>
    </row>
    <row r="163">
      <c r="A163" s="4" t="inlineStr">
        <is>
          <t>CPU-16T (Intel Xeon Platinum 8480+)</t>
        </is>
      </c>
      <c r="B163" s="4" t="n">
        <v>9.154</v>
      </c>
      <c r="C163" s="4" t="n">
        <v>17.671</v>
      </c>
      <c r="D163" s="4" t="n"/>
      <c r="E163" s="4" t="n"/>
      <c r="F163" s="4" t="n"/>
      <c r="G163" s="4" t="n"/>
      <c r="H163" s="4" t="n"/>
      <c r="I163" s="4" t="inlineStr">
        <is>
          <t>CPU-Serial</t>
        </is>
      </c>
      <c r="J163" s="4" t="e">
        <v>#DIV/0!</v>
      </c>
      <c r="K163" s="4" t="e">
        <v>#DIV/0!</v>
      </c>
      <c r="L163" s="4" t="e">
        <v>#DIV/0!</v>
      </c>
      <c r="M163" s="4" t="n"/>
      <c r="N163" s="4" t="n"/>
      <c r="O163" s="4" t="n"/>
      <c r="P163" s="4" t="n"/>
      <c r="Q163" s="4" t="n"/>
    </row>
    <row r="164">
      <c r="A164" s="4" t="inlineStr">
        <is>
          <t>GPU-Hopper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inlineStr">
        <is>
          <t>GPU-Hopper</t>
        </is>
      </c>
      <c r="J164" s="4" t="e">
        <v>#DIV/0!</v>
      </c>
      <c r="K164" s="4" t="e">
        <v>#DIV/0!</v>
      </c>
      <c r="L164" s="4" t="e">
        <v>#DIV/0!</v>
      </c>
      <c r="M164" s="4" t="n"/>
      <c r="N164" s="4" t="inlineStr">
        <is>
          <t>GPU-Hopper/MASS-Hopper</t>
        </is>
      </c>
      <c r="O164" s="4" t="e">
        <v>#DIV/0!</v>
      </c>
      <c r="P164" s="4" t="e">
        <v>#DIV/0!</v>
      </c>
      <c r="Q164" s="4" t="e">
        <v>#DIV/0!</v>
      </c>
    </row>
    <row r="165">
      <c r="A165" s="4" t="inlineStr">
        <is>
          <t>MASS-Hopper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inlineStr">
        <is>
          <t>MASS-Hopper</t>
        </is>
      </c>
      <c r="J165" s="4" t="e">
        <v>#DIV/0!</v>
      </c>
      <c r="K165" s="4" t="e">
        <v>#DIV/0!</v>
      </c>
      <c r="L165" s="4" t="e">
        <v>#DIV/0!</v>
      </c>
      <c r="M165" s="4" t="n"/>
      <c r="N165" s="4" t="n"/>
      <c r="O165" s="4" t="n"/>
      <c r="P165" s="4" t="n"/>
      <c r="Q16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I4" sqref="I4"/>
    </sheetView>
  </sheetViews>
  <sheetFormatPr baseColWidth="10" defaultRowHeight="16"/>
  <cols>
    <col width="26.6640625" customWidth="1" min="1" max="1"/>
    <col width="21.33203125" customWidth="1" min="9" max="9"/>
    <col width="25.1640625" customWidth="1" min="14" max="14"/>
  </cols>
  <sheetData>
    <row r="1">
      <c r="A1" t="inlineStr">
        <is>
          <t>ER-p</t>
        </is>
      </c>
    </row>
    <row r="2">
      <c r="A2" t="inlineStr">
        <is>
          <t>SJ</t>
        </is>
      </c>
    </row>
    <row r="3">
      <c r="B3" t="inlineStr">
        <is>
          <t>p=0.01%</t>
        </is>
      </c>
      <c r="I3" t="inlineStr">
        <is>
          <t>ER-p</t>
        </is>
      </c>
      <c r="J3" t="inlineStr">
        <is>
          <t>p=0.01%</t>
        </is>
      </c>
    </row>
    <row r="4">
      <c r="A4" t="inlineStr">
        <is>
          <t>30 years</t>
        </is>
      </c>
      <c r="I4" t="inlineStr">
        <is>
          <t>30 years</t>
        </is>
      </c>
    </row>
    <row r="5">
      <c r="A5" t="inlineStr">
        <is>
          <t>TIMING (seconds)</t>
        </is>
      </c>
      <c r="I5" t="inlineStr">
        <is>
          <t>Speedup</t>
        </is>
      </c>
    </row>
    <row r="6">
      <c r="B6" s="2" t="n">
        <v>0.01</v>
      </c>
      <c r="C6" s="2" t="n">
        <v>0.03</v>
      </c>
      <c r="D6" s="2" t="n">
        <v>0.06</v>
      </c>
      <c r="F6" s="2" t="n"/>
      <c r="G6" s="2" t="n"/>
      <c r="J6" s="2" t="n">
        <v>0.01</v>
      </c>
      <c r="K6" s="2" t="n">
        <v>0.03</v>
      </c>
      <c r="L6" s="2" t="n">
        <v>0.06</v>
      </c>
      <c r="M6" s="2" t="n"/>
      <c r="N6" s="2" t="n"/>
      <c r="O6" s="2" t="n">
        <v>0.01</v>
      </c>
      <c r="P6" s="2" t="n">
        <v>0.03</v>
      </c>
      <c r="Q6" s="2" t="n">
        <v>0.06</v>
      </c>
    </row>
    <row r="7">
      <c r="A7" t="inlineStr">
        <is>
          <t>CPU-16T (Intel Xeon Platinum 8480+)</t>
        </is>
      </c>
      <c r="B7" t="n">
        <v>123.615</v>
      </c>
      <c r="C7" t="n">
        <v>660.342</v>
      </c>
      <c r="I7" t="inlineStr">
        <is>
          <t>CPU-Serial</t>
        </is>
      </c>
      <c r="J7">
        <f>B$7/B7</f>
        <v/>
      </c>
      <c r="K7">
        <f>C$7/C7</f>
        <v/>
      </c>
      <c r="L7">
        <f>D$7/D7</f>
        <v/>
      </c>
    </row>
    <row r="8">
      <c r="A8" t="inlineStr">
        <is>
          <t>GPU-Hopper</t>
        </is>
      </c>
      <c r="I8" t="inlineStr">
        <is>
          <t>GPU-Hopper</t>
        </is>
      </c>
      <c r="J8">
        <f>B$7/B8</f>
        <v/>
      </c>
      <c r="K8">
        <f>C$7/C8</f>
        <v/>
      </c>
      <c r="L8">
        <f>D$7/D8</f>
        <v/>
      </c>
      <c r="N8" t="inlineStr">
        <is>
          <t>GPU-Hopper/MASS-Hopper</t>
        </is>
      </c>
      <c r="O8">
        <f>J8/J9</f>
        <v/>
      </c>
      <c r="P8">
        <f>K8/K9</f>
        <v/>
      </c>
      <c r="Q8">
        <f>L8/L9</f>
        <v/>
      </c>
    </row>
    <row r="9">
      <c r="A9" t="inlineStr">
        <is>
          <t>MASS-Hopper</t>
        </is>
      </c>
      <c r="I9" t="inlineStr">
        <is>
          <t>MASS-Hopper</t>
        </is>
      </c>
      <c r="J9">
        <f>B$7/B9</f>
        <v/>
      </c>
      <c r="K9">
        <f>C$7/C9</f>
        <v/>
      </c>
      <c r="L9">
        <f>D$7/D9</f>
        <v/>
      </c>
    </row>
    <row r="10"/>
    <row r="11">
      <c r="A11" t="inlineStr">
        <is>
          <t>ER-p</t>
        </is>
      </c>
      <c r="B11" t="inlineStr">
        <is>
          <t>p=0.03%</t>
        </is>
      </c>
      <c r="I11" t="inlineStr">
        <is>
          <t>ER-p</t>
        </is>
      </c>
      <c r="J11" t="inlineStr">
        <is>
          <t>p=0.03%</t>
        </is>
      </c>
    </row>
    <row r="12">
      <c r="A12" t="inlineStr">
        <is>
          <t>3 years</t>
        </is>
      </c>
      <c r="I12" t="inlineStr">
        <is>
          <t>3 years</t>
        </is>
      </c>
    </row>
    <row r="13">
      <c r="A13" t="inlineStr">
        <is>
          <t>TIMING (seconds)</t>
        </is>
      </c>
      <c r="I13" t="inlineStr">
        <is>
          <t>Speedup</t>
        </is>
      </c>
    </row>
    <row r="14">
      <c r="B14" s="2" t="n">
        <v>0.01</v>
      </c>
      <c r="C14" s="2" t="n">
        <v>0.03</v>
      </c>
      <c r="D14" s="2" t="n">
        <v>0.06</v>
      </c>
      <c r="F14" s="2" t="n"/>
      <c r="G14" s="2" t="n"/>
      <c r="J14" s="2" t="n">
        <v>0.01</v>
      </c>
      <c r="K14" s="2" t="n">
        <v>0.03</v>
      </c>
      <c r="L14" s="2" t="n">
        <v>0.06</v>
      </c>
      <c r="N14" s="2" t="n"/>
      <c r="O14" s="2" t="n">
        <v>0.01</v>
      </c>
      <c r="P14" s="2" t="n">
        <v>0.03</v>
      </c>
      <c r="Q14" s="2" t="n">
        <v>0.06</v>
      </c>
    </row>
    <row r="15">
      <c r="A15" t="inlineStr">
        <is>
          <t>CPU-16T (Intel Xeon Platinum 8480+)</t>
        </is>
      </c>
      <c r="B15" t="n">
        <v>209.999</v>
      </c>
      <c r="C15" t="n">
        <v>1498.56</v>
      </c>
      <c r="I15" t="inlineStr">
        <is>
          <t>CPU-Serial</t>
        </is>
      </c>
      <c r="J15">
        <f>B$15/B15</f>
        <v/>
      </c>
      <c r="K15">
        <f>C$15/C15</f>
        <v/>
      </c>
      <c r="L15">
        <f>D$15/D15</f>
        <v/>
      </c>
    </row>
    <row r="16">
      <c r="A16" t="inlineStr">
        <is>
          <t>GPU-Hopper</t>
        </is>
      </c>
      <c r="I16" t="inlineStr">
        <is>
          <t>GPU-Hopper</t>
        </is>
      </c>
      <c r="J16">
        <f>B$15/B16</f>
        <v/>
      </c>
      <c r="K16">
        <f>C$15/C16</f>
        <v/>
      </c>
      <c r="L16">
        <f>D$15/D16</f>
        <v/>
      </c>
      <c r="N16" t="inlineStr">
        <is>
          <t>GPU-Hopper/MASS-Hopper</t>
        </is>
      </c>
      <c r="O16">
        <f>J16/J17</f>
        <v/>
      </c>
      <c r="P16">
        <f>K16/K17</f>
        <v/>
      </c>
      <c r="Q16">
        <f>L16/L17</f>
        <v/>
      </c>
    </row>
    <row r="17">
      <c r="A17" t="inlineStr">
        <is>
          <t>MASS-Hopper</t>
        </is>
      </c>
      <c r="I17" t="inlineStr">
        <is>
          <t>MASS-Hopper</t>
        </is>
      </c>
      <c r="J17">
        <f>B$15/B17</f>
        <v/>
      </c>
      <c r="K17">
        <f>C$15/C17</f>
        <v/>
      </c>
      <c r="L17">
        <f>D$15/D17</f>
        <v/>
      </c>
    </row>
    <row r="18"/>
    <row r="19">
      <c r="A19" t="inlineStr">
        <is>
          <t>ER-p</t>
        </is>
      </c>
      <c r="B19" t="inlineStr">
        <is>
          <t>p=0.05%</t>
        </is>
      </c>
      <c r="I19" t="inlineStr">
        <is>
          <t>ER-p</t>
        </is>
      </c>
      <c r="J19" t="inlineStr">
        <is>
          <t>p=0.05%</t>
        </is>
      </c>
    </row>
    <row r="20">
      <c r="A20" t="inlineStr">
        <is>
          <t>30 years</t>
        </is>
      </c>
      <c r="I20" t="inlineStr">
        <is>
          <t>30 years</t>
        </is>
      </c>
    </row>
    <row r="21">
      <c r="A21" t="inlineStr">
        <is>
          <t>TIMING (seconds)</t>
        </is>
      </c>
      <c r="I21" t="inlineStr">
        <is>
          <t>Speedup</t>
        </is>
      </c>
      <c r="M21" s="2" t="n"/>
      <c r="N21" s="2" t="n"/>
      <c r="O21" s="2" t="n"/>
      <c r="P21" s="2" t="n"/>
      <c r="Q21" s="2" t="n"/>
    </row>
    <row r="22">
      <c r="B22" s="2" t="n">
        <v>0.01</v>
      </c>
      <c r="C22" s="2" t="n">
        <v>0.03</v>
      </c>
      <c r="D22" s="2" t="n">
        <v>0.06</v>
      </c>
      <c r="F22" s="2" t="n"/>
      <c r="G22" s="2" t="n"/>
      <c r="J22" s="2" t="n">
        <v>0.01</v>
      </c>
      <c r="K22" s="2" t="n">
        <v>0.03</v>
      </c>
      <c r="L22" s="2" t="n">
        <v>0.06</v>
      </c>
      <c r="N22" s="2" t="n"/>
      <c r="O22" s="2" t="n">
        <v>0.01</v>
      </c>
      <c r="P22" s="2" t="n">
        <v>0.03</v>
      </c>
      <c r="Q22" s="2" t="n">
        <v>0.06</v>
      </c>
    </row>
    <row r="23">
      <c r="A23" t="inlineStr">
        <is>
          <t>CPU-16T (Intel Xeon Platinum 8480+)</t>
        </is>
      </c>
      <c r="B23" t="n">
        <v>319.9</v>
      </c>
      <c r="I23" t="inlineStr">
        <is>
          <t>CPU-Serial</t>
        </is>
      </c>
      <c r="J23">
        <f>B$23/B23</f>
        <v/>
      </c>
      <c r="K23">
        <f>C$23/C23</f>
        <v/>
      </c>
      <c r="L23">
        <f>D$23/D23</f>
        <v/>
      </c>
    </row>
    <row r="24">
      <c r="A24" t="inlineStr">
        <is>
          <t>GPU-Hopper</t>
        </is>
      </c>
      <c r="I24" t="inlineStr">
        <is>
          <t>GPU-Hopper</t>
        </is>
      </c>
      <c r="J24">
        <f>B$23/B24</f>
        <v/>
      </c>
      <c r="K24">
        <f>C$23/C24</f>
        <v/>
      </c>
      <c r="L24">
        <f>D$23/D24</f>
        <v/>
      </c>
      <c r="N24" t="inlineStr">
        <is>
          <t>GPU-Hopper/MASS-Hopper</t>
        </is>
      </c>
      <c r="O24">
        <f>J24/J25</f>
        <v/>
      </c>
      <c r="P24">
        <f>K24/K25</f>
        <v/>
      </c>
      <c r="Q24">
        <f>L24/L25</f>
        <v/>
      </c>
    </row>
    <row r="25">
      <c r="A25" t="inlineStr">
        <is>
          <t>MASS-Hopper</t>
        </is>
      </c>
      <c r="I25" t="inlineStr">
        <is>
          <t>MASS-Hopper</t>
        </is>
      </c>
      <c r="J25">
        <f>B$23/B25</f>
        <v/>
      </c>
      <c r="K25">
        <f>C$23/C25</f>
        <v/>
      </c>
      <c r="L25">
        <f>D$23/D25</f>
        <v/>
      </c>
    </row>
    <row r="26"/>
    <row r="27">
      <c r="A27" t="inlineStr">
        <is>
          <t>ER-p</t>
        </is>
      </c>
      <c r="B27" t="inlineStr">
        <is>
          <t>p=0.1%</t>
        </is>
      </c>
      <c r="I27" t="inlineStr">
        <is>
          <t>ER-p</t>
        </is>
      </c>
      <c r="J27" t="inlineStr">
        <is>
          <t>p=0.1%</t>
        </is>
      </c>
    </row>
    <row r="28">
      <c r="A28" t="inlineStr">
        <is>
          <t>3 years</t>
        </is>
      </c>
      <c r="I28" t="inlineStr">
        <is>
          <t>3 years</t>
        </is>
      </c>
    </row>
    <row r="29">
      <c r="A29" t="inlineStr">
        <is>
          <t>TIMING (seconds)</t>
        </is>
      </c>
      <c r="I29" t="inlineStr">
        <is>
          <t>Speedup</t>
        </is>
      </c>
    </row>
    <row r="30">
      <c r="B30" s="2" t="n">
        <v>0.01</v>
      </c>
      <c r="C30" s="2" t="n">
        <v>0.03</v>
      </c>
      <c r="D30" s="2" t="n">
        <v>0.06</v>
      </c>
      <c r="F30" s="2" t="n"/>
      <c r="G30" s="2" t="n"/>
      <c r="J30" s="2" t="n">
        <v>0.01</v>
      </c>
      <c r="K30" s="2" t="n">
        <v>0.03</v>
      </c>
      <c r="L30" s="2" t="n">
        <v>0.06</v>
      </c>
      <c r="M30" s="2" t="n"/>
      <c r="N30" s="2" t="n"/>
      <c r="O30" s="2" t="n">
        <v>0.01</v>
      </c>
      <c r="P30" s="2" t="n">
        <v>0.03</v>
      </c>
      <c r="Q30" s="2" t="n">
        <v>0.06</v>
      </c>
    </row>
    <row r="31">
      <c r="A31" t="inlineStr">
        <is>
          <t>CPU-16T (Intel Xeon Platinum 8480+)</t>
        </is>
      </c>
      <c r="B31" t="n">
        <v>645.814</v>
      </c>
      <c r="I31" t="inlineStr">
        <is>
          <t>CPU-Serial</t>
        </is>
      </c>
      <c r="J31">
        <f>B$31/B31</f>
        <v/>
      </c>
      <c r="K31">
        <f>C$31/C31</f>
        <v/>
      </c>
      <c r="L31">
        <f>D$31/D31</f>
        <v/>
      </c>
    </row>
    <row r="32">
      <c r="A32" t="inlineStr">
        <is>
          <t>GPU-Hopper</t>
        </is>
      </c>
      <c r="I32" t="inlineStr">
        <is>
          <t>GPU-Hopper</t>
        </is>
      </c>
      <c r="J32">
        <f>B$31/B32</f>
        <v/>
      </c>
      <c r="K32">
        <f>C$31/C32</f>
        <v/>
      </c>
      <c r="L32">
        <f>D$31/D32</f>
        <v/>
      </c>
      <c r="N32" t="inlineStr">
        <is>
          <t>GPU-Hopper/MASS-Hopper</t>
        </is>
      </c>
      <c r="O32">
        <f>J32/J33</f>
        <v/>
      </c>
      <c r="P32">
        <f>K32/K33</f>
        <v/>
      </c>
      <c r="Q32">
        <f>L32/L33</f>
        <v/>
      </c>
    </row>
    <row r="33">
      <c r="A33" t="inlineStr">
        <is>
          <t>MASS-Hopper</t>
        </is>
      </c>
      <c r="I33" t="inlineStr">
        <is>
          <t>MASS-Hopper</t>
        </is>
      </c>
      <c r="J33">
        <f>B$31/B33</f>
        <v/>
      </c>
      <c r="K33">
        <f>C$31/C33</f>
        <v/>
      </c>
      <c r="L33">
        <f>D$31/D33</f>
        <v/>
      </c>
    </row>
    <row r="34"/>
    <row r="35">
      <c r="A35" t="inlineStr">
        <is>
          <t>amz</t>
        </is>
      </c>
    </row>
    <row r="36">
      <c r="A36" s="4" t="n"/>
      <c r="B36" s="4" t="inlineStr">
        <is>
          <t>p=0.01%</t>
        </is>
      </c>
      <c r="C36" s="4" t="n"/>
      <c r="D36" s="4" t="n"/>
      <c r="E36" s="4" t="n"/>
      <c r="F36" s="4" t="n"/>
      <c r="G36" s="4" t="n"/>
      <c r="H36" s="4" t="n"/>
      <c r="I36" s="4" t="inlineStr">
        <is>
          <t>ER-p</t>
        </is>
      </c>
      <c r="J36" s="4" t="inlineStr">
        <is>
          <t>p=0.01%</t>
        </is>
      </c>
      <c r="K36" s="4" t="n"/>
      <c r="L36" s="4" t="n"/>
      <c r="M36" s="4" t="n"/>
      <c r="N36" s="4" t="n"/>
      <c r="O36" s="4" t="n"/>
      <c r="P36" s="4" t="n"/>
      <c r="Q36" s="4" t="n"/>
    </row>
    <row r="37">
      <c r="A37" s="4" t="inlineStr">
        <is>
          <t>30 years</t>
        </is>
      </c>
      <c r="B37" s="4" t="n"/>
      <c r="C37" s="4" t="n"/>
      <c r="D37" s="4" t="n"/>
      <c r="E37" s="4" t="n"/>
      <c r="F37" s="4" t="n"/>
      <c r="G37" s="4" t="n"/>
      <c r="H37" s="4" t="n"/>
      <c r="I37" s="4" t="inlineStr">
        <is>
          <t>30 years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inlineStr">
        <is>
          <t>TIMING (seconds)</t>
        </is>
      </c>
      <c r="B38" s="4" t="n"/>
      <c r="C38" s="4" t="n"/>
      <c r="D38" s="4" t="n"/>
      <c r="E38" s="4" t="n"/>
      <c r="F38" s="4" t="n"/>
      <c r="G38" s="4" t="n"/>
      <c r="H38" s="4" t="n"/>
      <c r="I38" s="4" t="inlineStr">
        <is>
          <t>Speedup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5" t="n">
        <v>0.01</v>
      </c>
      <c r="C39" s="5" t="n">
        <v>0.03</v>
      </c>
      <c r="D39" s="5" t="n">
        <v>0.06</v>
      </c>
      <c r="E39" s="4" t="n"/>
      <c r="F39" s="5" t="n"/>
      <c r="G39" s="5" t="n"/>
      <c r="H39" s="4" t="n"/>
      <c r="I39" s="4" t="n"/>
      <c r="J39" s="5" t="n">
        <v>0.01</v>
      </c>
      <c r="K39" s="5" t="n">
        <v>0.03</v>
      </c>
      <c r="L39" s="5" t="n">
        <v>0.06</v>
      </c>
      <c r="M39" s="5" t="n"/>
      <c r="N39" s="5" t="n"/>
      <c r="O39" s="5" t="n">
        <v>0.01</v>
      </c>
      <c r="P39" s="5" t="n">
        <v>0.03</v>
      </c>
      <c r="Q39" s="5" t="n">
        <v>0.06</v>
      </c>
    </row>
    <row r="40">
      <c r="A40" s="4" t="inlineStr">
        <is>
          <t>CPU-16T (Intel Xeon Platinum 8480+)</t>
        </is>
      </c>
      <c r="B40" s="4" t="n">
        <v>52.777</v>
      </c>
      <c r="C40" s="4" t="n">
        <v>296.124</v>
      </c>
      <c r="D40" s="4" t="n">
        <v>2245.088</v>
      </c>
      <c r="E40" s="4" t="n"/>
      <c r="F40" s="4" t="n"/>
      <c r="G40" s="4" t="n"/>
      <c r="H40" s="4" t="n"/>
      <c r="I40" s="4" t="inlineStr">
        <is>
          <t>CPU-Serial</t>
        </is>
      </c>
      <c r="J40" s="4" t="e">
        <v>#DIV/0!</v>
      </c>
      <c r="K40" s="4" t="e">
        <v>#DIV/0!</v>
      </c>
      <c r="L40" s="4" t="e">
        <v>#DIV/0!</v>
      </c>
      <c r="M40" s="4" t="n"/>
      <c r="N40" s="4" t="n"/>
      <c r="O40" s="4" t="n"/>
      <c r="P40" s="4" t="n"/>
      <c r="Q40" s="4" t="n"/>
    </row>
    <row r="41">
      <c r="A41" s="4" t="inlineStr">
        <is>
          <t>GPU-Hopper</t>
        </is>
      </c>
      <c r="B41" s="4" t="n">
        <v>27</v>
      </c>
      <c r="C41" s="4" t="n">
        <v>65</v>
      </c>
      <c r="D41" s="4" t="n">
        <v>191</v>
      </c>
      <c r="E41" s="4" t="n"/>
      <c r="F41" s="4" t="n"/>
      <c r="G41" s="4" t="n"/>
      <c r="H41" s="4" t="n"/>
      <c r="I41" s="4" t="inlineStr">
        <is>
          <t>GPU-Hopper</t>
        </is>
      </c>
      <c r="J41" s="4" t="e">
        <v>#DIV/0!</v>
      </c>
      <c r="K41" s="4" t="e">
        <v>#DIV/0!</v>
      </c>
      <c r="L41" s="4" t="e">
        <v>#DIV/0!</v>
      </c>
      <c r="M41" s="4" t="n"/>
      <c r="N41" s="4" t="inlineStr">
        <is>
          <t>GPU-Hopper/MASS-Hopper</t>
        </is>
      </c>
      <c r="O41" s="4" t="e">
        <v>#DIV/0!</v>
      </c>
      <c r="P41" s="4" t="e">
        <v>#DIV/0!</v>
      </c>
      <c r="Q41" s="4" t="e">
        <v>#DIV/0!</v>
      </c>
    </row>
    <row r="42">
      <c r="A42" s="4" t="inlineStr">
        <is>
          <t>MASS-Hopper</t>
        </is>
      </c>
      <c r="B42" s="4" t="n"/>
      <c r="C42" s="4" t="n"/>
      <c r="D42" s="4" t="n"/>
      <c r="E42" s="4" t="n"/>
      <c r="F42" s="4" t="n"/>
      <c r="G42" s="4" t="n"/>
      <c r="H42" s="4" t="n"/>
      <c r="I42" s="4" t="inlineStr">
        <is>
          <t>MASS-Hopper</t>
        </is>
      </c>
      <c r="J42" s="4" t="e">
        <v>#DIV/0!</v>
      </c>
      <c r="K42" s="4" t="e">
        <v>#DIV/0!</v>
      </c>
      <c r="L42" s="4" t="e">
        <v>#DIV/0!</v>
      </c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inlineStr">
        <is>
          <t>ER-p</t>
        </is>
      </c>
      <c r="B44" s="4" t="inlineStr">
        <is>
          <t>p=0.03%</t>
        </is>
      </c>
      <c r="C44" s="4" t="n"/>
      <c r="D44" s="4" t="n"/>
      <c r="E44" s="4" t="n"/>
      <c r="F44" s="4" t="n"/>
      <c r="G44" s="4" t="n"/>
      <c r="H44" s="4" t="n"/>
      <c r="I44" s="4" t="inlineStr">
        <is>
          <t>ER-p</t>
        </is>
      </c>
      <c r="J44" s="4" t="inlineStr">
        <is>
          <t>p=0.03%</t>
        </is>
      </c>
      <c r="K44" s="4" t="n"/>
      <c r="L44" s="4" t="n"/>
      <c r="M44" s="4" t="n"/>
      <c r="N44" s="4" t="n"/>
      <c r="O44" s="4" t="n"/>
      <c r="P44" s="4" t="n"/>
      <c r="Q44" s="4" t="n"/>
    </row>
    <row r="45">
      <c r="A45" s="4" t="inlineStr">
        <is>
          <t>3 years</t>
        </is>
      </c>
      <c r="B45" s="4" t="n"/>
      <c r="C45" s="4" t="n"/>
      <c r="D45" s="4" t="n"/>
      <c r="E45" s="4" t="n"/>
      <c r="F45" s="4" t="n"/>
      <c r="G45" s="4" t="n"/>
      <c r="H45" s="4" t="n"/>
      <c r="I45" s="4" t="inlineStr">
        <is>
          <t>3 years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inlineStr">
        <is>
          <t>TIMING (seconds)</t>
        </is>
      </c>
      <c r="B46" s="4" t="n"/>
      <c r="C46" s="4" t="n"/>
      <c r="D46" s="4" t="n"/>
      <c r="E46" s="4" t="n"/>
      <c r="F46" s="4" t="n"/>
      <c r="G46" s="4" t="n"/>
      <c r="H46" s="4" t="n"/>
      <c r="I46" s="4" t="inlineStr">
        <is>
          <t>Speedup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n"/>
      <c r="B47" s="5" t="n">
        <v>0.01</v>
      </c>
      <c r="C47" s="5" t="n">
        <v>0.03</v>
      </c>
      <c r="D47" s="5" t="n">
        <v>0.06</v>
      </c>
      <c r="E47" s="4" t="n"/>
      <c r="F47" s="5" t="n"/>
      <c r="G47" s="5" t="n"/>
      <c r="H47" s="4" t="n"/>
      <c r="I47" s="4" t="n"/>
      <c r="J47" s="5" t="n">
        <v>0.01</v>
      </c>
      <c r="K47" s="5" t="n">
        <v>0.03</v>
      </c>
      <c r="L47" s="5" t="n">
        <v>0.06</v>
      </c>
      <c r="M47" s="4" t="n"/>
      <c r="N47" s="5" t="n"/>
      <c r="O47" s="5" t="n">
        <v>0.01</v>
      </c>
      <c r="P47" s="5" t="n">
        <v>0.03</v>
      </c>
      <c r="Q47" s="5" t="n">
        <v>0.06</v>
      </c>
    </row>
    <row r="48">
      <c r="A48" s="4" t="inlineStr">
        <is>
          <t>CPU-16T (Intel Xeon Platinum 8480+)</t>
        </is>
      </c>
      <c r="B48" s="4" t="n">
        <v>109.16</v>
      </c>
      <c r="C48" s="4" t="n">
        <v>750.487</v>
      </c>
      <c r="D48" s="4" t="n"/>
      <c r="E48" s="4" t="n"/>
      <c r="F48" s="4" t="n"/>
      <c r="G48" s="4" t="n"/>
      <c r="H48" s="4" t="n"/>
      <c r="I48" s="4" t="inlineStr">
        <is>
          <t>CPU-Serial</t>
        </is>
      </c>
      <c r="J48" s="4" t="e">
        <v>#DIV/0!</v>
      </c>
      <c r="K48" s="4" t="e">
        <v>#DIV/0!</v>
      </c>
      <c r="L48" s="4" t="e">
        <v>#DIV/0!</v>
      </c>
      <c r="M48" s="4" t="n"/>
      <c r="N48" s="4" t="n"/>
      <c r="O48" s="4" t="n"/>
      <c r="P48" s="4" t="n"/>
      <c r="Q48" s="4" t="n"/>
    </row>
    <row r="49">
      <c r="A49" s="4" t="inlineStr">
        <is>
          <t>GPU-Hopper</t>
        </is>
      </c>
      <c r="B49" s="4" t="n">
        <v>37</v>
      </c>
      <c r="C49" s="4" t="n">
        <v>85</v>
      </c>
      <c r="D49" s="4" t="n">
        <v>315</v>
      </c>
      <c r="E49" s="4" t="n"/>
      <c r="F49" s="4" t="n"/>
      <c r="G49" s="4" t="n"/>
      <c r="H49" s="4" t="n"/>
      <c r="I49" s="4" t="inlineStr">
        <is>
          <t>GPU-Hopper</t>
        </is>
      </c>
      <c r="J49" s="4" t="e">
        <v>#DIV/0!</v>
      </c>
      <c r="K49" s="4" t="e">
        <v>#DIV/0!</v>
      </c>
      <c r="L49" s="4" t="e">
        <v>#DIV/0!</v>
      </c>
      <c r="M49" s="4" t="n"/>
      <c r="N49" s="4" t="inlineStr">
        <is>
          <t>GPU-Hopper/MASS-Hopper</t>
        </is>
      </c>
      <c r="O49" s="4" t="e">
        <v>#DIV/0!</v>
      </c>
      <c r="P49" s="4" t="e">
        <v>#DIV/0!</v>
      </c>
      <c r="Q49" s="4" t="e">
        <v>#DIV/0!</v>
      </c>
    </row>
    <row r="50">
      <c r="A50" s="4" t="inlineStr">
        <is>
          <t>MASS-Hopper</t>
        </is>
      </c>
      <c r="B50" s="4" t="n"/>
      <c r="C50" s="4" t="n"/>
      <c r="D50" s="4" t="n"/>
      <c r="E50" s="4" t="n"/>
      <c r="F50" s="4" t="n"/>
      <c r="G50" s="4" t="n"/>
      <c r="H50" s="4" t="n"/>
      <c r="I50" s="4" t="inlineStr">
        <is>
          <t>MASS-Hopper</t>
        </is>
      </c>
      <c r="J50" s="4" t="e">
        <v>#DIV/0!</v>
      </c>
      <c r="K50" s="4" t="e">
        <v>#DIV/0!</v>
      </c>
      <c r="L50" s="4" t="e">
        <v>#DIV/0!</v>
      </c>
      <c r="M50" s="4" t="n"/>
      <c r="N50" s="4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4" t="inlineStr">
        <is>
          <t>ER-p</t>
        </is>
      </c>
      <c r="B52" s="4" t="inlineStr">
        <is>
          <t>p=0.05%</t>
        </is>
      </c>
      <c r="C52" s="4" t="n"/>
      <c r="D52" s="4" t="n"/>
      <c r="E52" s="4" t="n"/>
      <c r="F52" s="4" t="n"/>
      <c r="G52" s="4" t="n"/>
      <c r="H52" s="4" t="n"/>
      <c r="I52" s="4" t="inlineStr">
        <is>
          <t>ER-p</t>
        </is>
      </c>
      <c r="J52" s="4" t="inlineStr">
        <is>
          <t>p=0.05%</t>
        </is>
      </c>
      <c r="K52" s="4" t="n"/>
      <c r="L52" s="4" t="n"/>
      <c r="M52" s="4" t="n"/>
      <c r="N52" s="4" t="n"/>
      <c r="O52" s="4" t="n"/>
      <c r="P52" s="4" t="n"/>
      <c r="Q52" s="4" t="n"/>
    </row>
    <row r="53">
      <c r="A53" s="4" t="inlineStr">
        <is>
          <t>30 years</t>
        </is>
      </c>
      <c r="B53" s="4" t="n"/>
      <c r="C53" s="4" t="n"/>
      <c r="D53" s="4" t="n"/>
      <c r="E53" s="4" t="n"/>
      <c r="F53" s="4" t="n"/>
      <c r="G53" s="4" t="n"/>
      <c r="H53" s="4" t="n"/>
      <c r="I53" s="4" t="inlineStr">
        <is>
          <t>30 years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4" t="inlineStr">
        <is>
          <t>TIMING (seconds)</t>
        </is>
      </c>
      <c r="B54" s="4" t="n"/>
      <c r="C54" s="4" t="n"/>
      <c r="D54" s="4" t="n"/>
      <c r="E54" s="4" t="n"/>
      <c r="F54" s="4" t="n"/>
      <c r="G54" s="4" t="n"/>
      <c r="H54" s="4" t="n"/>
      <c r="I54" s="4" t="inlineStr">
        <is>
          <t>Speedup</t>
        </is>
      </c>
      <c r="J54" s="4" t="n"/>
      <c r="K54" s="4" t="n"/>
      <c r="L54" s="4" t="n"/>
      <c r="M54" s="5" t="n"/>
      <c r="N54" s="5" t="n"/>
      <c r="O54" s="5" t="n"/>
      <c r="P54" s="5" t="n"/>
      <c r="Q54" s="5" t="n"/>
    </row>
    <row r="55">
      <c r="A55" s="4" t="n"/>
      <c r="B55" s="5" t="n">
        <v>0.01</v>
      </c>
      <c r="C55" s="5" t="n">
        <v>0.03</v>
      </c>
      <c r="D55" s="5" t="n">
        <v>0.06</v>
      </c>
      <c r="E55" s="4" t="n"/>
      <c r="F55" s="5" t="n"/>
      <c r="G55" s="5" t="n"/>
      <c r="H55" s="4" t="n"/>
      <c r="I55" s="4" t="n"/>
      <c r="J55" s="5" t="n">
        <v>0.01</v>
      </c>
      <c r="K55" s="5" t="n">
        <v>0.03</v>
      </c>
      <c r="L55" s="5" t="n">
        <v>0.06</v>
      </c>
      <c r="M55" s="4" t="n"/>
      <c r="N55" s="5" t="n"/>
      <c r="O55" s="5" t="n">
        <v>0.01</v>
      </c>
      <c r="P55" s="5" t="n">
        <v>0.03</v>
      </c>
      <c r="Q55" s="5" t="n">
        <v>0.06</v>
      </c>
    </row>
    <row r="56">
      <c r="A56" s="4" t="inlineStr">
        <is>
          <t>CPU-16T (Intel Xeon Platinum 8480+)</t>
        </is>
      </c>
      <c r="B56" s="4" t="n">
        <v>142.565</v>
      </c>
      <c r="C56" s="4" t="n">
        <v>1032.627</v>
      </c>
      <c r="D56" s="4" t="n"/>
      <c r="E56" s="4" t="n"/>
      <c r="F56" s="4" t="n"/>
      <c r="G56" s="4" t="n"/>
      <c r="H56" s="4" t="n"/>
      <c r="I56" s="4" t="inlineStr">
        <is>
          <t>CPU-Serial</t>
        </is>
      </c>
      <c r="J56" s="4" t="e">
        <v>#DIV/0!</v>
      </c>
      <c r="K56" s="4" t="e">
        <v>#DIV/0!</v>
      </c>
      <c r="L56" s="4" t="e">
        <v>#DIV/0!</v>
      </c>
      <c r="M56" s="4" t="n"/>
      <c r="N56" s="4" t="n"/>
      <c r="O56" s="4" t="n"/>
      <c r="P56" s="4" t="n"/>
      <c r="Q56" s="4" t="n"/>
    </row>
    <row r="57">
      <c r="A57" s="4" t="inlineStr">
        <is>
          <t>GPU-Hopper</t>
        </is>
      </c>
      <c r="B57" s="4" t="n">
        <v>40</v>
      </c>
      <c r="C57" s="4" t="n">
        <v>104</v>
      </c>
      <c r="D57" s="4" t="n"/>
      <c r="E57" s="4" t="n"/>
      <c r="F57" s="4" t="n"/>
      <c r="G57" s="4" t="n"/>
      <c r="H57" s="4" t="n"/>
      <c r="I57" s="4" t="inlineStr">
        <is>
          <t>GPU-Hopper</t>
        </is>
      </c>
      <c r="J57" s="4" t="e">
        <v>#DIV/0!</v>
      </c>
      <c r="K57" s="4" t="e">
        <v>#DIV/0!</v>
      </c>
      <c r="L57" s="4" t="e">
        <v>#DIV/0!</v>
      </c>
      <c r="M57" s="4" t="n"/>
      <c r="N57" s="4" t="inlineStr">
        <is>
          <t>GPU-Hopper/MASS-Hopper</t>
        </is>
      </c>
      <c r="O57" s="4" t="e">
        <v>#DIV/0!</v>
      </c>
      <c r="P57" s="4" t="e">
        <v>#DIV/0!</v>
      </c>
      <c r="Q57" s="4" t="e">
        <v>#DIV/0!</v>
      </c>
    </row>
    <row r="58">
      <c r="A58" s="4" t="inlineStr">
        <is>
          <t>MASS-Hopper</t>
        </is>
      </c>
      <c r="B58" s="4" t="n"/>
      <c r="C58" s="4" t="n"/>
      <c r="D58" s="4" t="n"/>
      <c r="E58" s="4" t="n"/>
      <c r="F58" s="4" t="n"/>
      <c r="G58" s="4" t="n"/>
      <c r="H58" s="4" t="n"/>
      <c r="I58" s="4" t="inlineStr">
        <is>
          <t>MASS-Hopper</t>
        </is>
      </c>
      <c r="J58" s="4" t="e">
        <v>#DIV/0!</v>
      </c>
      <c r="K58" s="4" t="e">
        <v>#DIV/0!</v>
      </c>
      <c r="L58" s="4" t="e">
        <v>#DIV/0!</v>
      </c>
      <c r="M58" s="4" t="n"/>
      <c r="N58" s="4" t="n"/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4" t="inlineStr">
        <is>
          <t>ER-p</t>
        </is>
      </c>
      <c r="B60" s="4" t="inlineStr">
        <is>
          <t>p=0.1%</t>
        </is>
      </c>
      <c r="C60" s="4" t="n"/>
      <c r="D60" s="4" t="n"/>
      <c r="E60" s="4" t="n"/>
      <c r="F60" s="4" t="n"/>
      <c r="G60" s="4" t="n"/>
      <c r="H60" s="4" t="n"/>
      <c r="I60" s="4" t="inlineStr">
        <is>
          <t>ER-p</t>
        </is>
      </c>
      <c r="J60" s="4" t="inlineStr">
        <is>
          <t>p=0.1%</t>
        </is>
      </c>
      <c r="K60" s="4" t="n"/>
      <c r="L60" s="4" t="n"/>
      <c r="M60" s="4" t="n"/>
      <c r="N60" s="4" t="n"/>
      <c r="O60" s="4" t="n"/>
      <c r="P60" s="4" t="n"/>
      <c r="Q60" s="4" t="n"/>
    </row>
    <row r="61">
      <c r="A61" s="4" t="inlineStr">
        <is>
          <t>3 years</t>
        </is>
      </c>
      <c r="B61" s="4" t="n"/>
      <c r="C61" s="4" t="n"/>
      <c r="D61" s="4" t="n"/>
      <c r="E61" s="4" t="n"/>
      <c r="F61" s="4" t="n"/>
      <c r="G61" s="4" t="n"/>
      <c r="H61" s="4" t="n"/>
      <c r="I61" s="4" t="inlineStr">
        <is>
          <t>3 years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4" t="inlineStr">
        <is>
          <t>TIMING (seconds)</t>
        </is>
      </c>
      <c r="B62" s="4" t="n"/>
      <c r="C62" s="4" t="n"/>
      <c r="D62" s="4" t="n"/>
      <c r="E62" s="4" t="n"/>
      <c r="F62" s="4" t="n"/>
      <c r="G62" s="4" t="n"/>
      <c r="H62" s="4" t="n"/>
      <c r="I62" s="4" t="inlineStr">
        <is>
          <t>Speedup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</row>
    <row r="63">
      <c r="A63" s="4" t="n"/>
      <c r="B63" s="5" t="n">
        <v>0.01</v>
      </c>
      <c r="C63" s="5" t="n">
        <v>0.03</v>
      </c>
      <c r="D63" s="5" t="n">
        <v>0.06</v>
      </c>
      <c r="E63" s="4" t="n"/>
      <c r="F63" s="5" t="n"/>
      <c r="G63" s="5" t="n"/>
      <c r="H63" s="4" t="n"/>
      <c r="I63" s="4" t="n"/>
      <c r="J63" s="5" t="n">
        <v>0.01</v>
      </c>
      <c r="K63" s="5" t="n">
        <v>0.03</v>
      </c>
      <c r="L63" s="5" t="n">
        <v>0.06</v>
      </c>
      <c r="M63" s="5" t="n"/>
      <c r="N63" s="5" t="n"/>
      <c r="O63" s="5" t="n">
        <v>0.01</v>
      </c>
      <c r="P63" s="5" t="n">
        <v>0.03</v>
      </c>
      <c r="Q63" s="5" t="n">
        <v>0.06</v>
      </c>
    </row>
    <row r="64">
      <c r="A64" s="4" t="inlineStr">
        <is>
          <t>CPU-16T (Intel Xeon Platinum 8480+)</t>
        </is>
      </c>
      <c r="B64" s="4" t="n">
        <v>261.267</v>
      </c>
      <c r="C64" s="4" t="n">
        <v>2057.619</v>
      </c>
      <c r="D64" s="4" t="n"/>
      <c r="E64" s="4" t="n"/>
      <c r="F64" s="4" t="n"/>
      <c r="G64" s="4" t="n"/>
      <c r="H64" s="4" t="n"/>
      <c r="I64" s="4" t="inlineStr">
        <is>
          <t>CPU-Serial</t>
        </is>
      </c>
      <c r="J64" s="4" t="e">
        <v>#DIV/0!</v>
      </c>
      <c r="K64" s="4" t="e">
        <v>#DIV/0!</v>
      </c>
      <c r="L64" s="4" t="e">
        <v>#DIV/0!</v>
      </c>
      <c r="M64" s="4" t="n"/>
      <c r="N64" s="4" t="n"/>
      <c r="O64" s="4" t="n"/>
      <c r="P64" s="4" t="n"/>
      <c r="Q64" s="4" t="n"/>
    </row>
    <row r="65">
      <c r="A65" s="4" t="inlineStr">
        <is>
          <t>GPU-Hopper</t>
        </is>
      </c>
      <c r="B65" s="4" t="n"/>
      <c r="C65" s="4" t="n"/>
      <c r="D65" s="4" t="n"/>
      <c r="E65" s="4" t="n"/>
      <c r="F65" s="4" t="n"/>
      <c r="G65" s="4" t="n"/>
      <c r="H65" s="4" t="n"/>
      <c r="I65" s="4" t="inlineStr">
        <is>
          <t>GPU-Hopper</t>
        </is>
      </c>
      <c r="J65" s="4" t="e">
        <v>#DIV/0!</v>
      </c>
      <c r="K65" s="4" t="e">
        <v>#DIV/0!</v>
      </c>
      <c r="L65" s="4" t="e">
        <v>#DIV/0!</v>
      </c>
      <c r="M65" s="4" t="n"/>
      <c r="N65" s="4" t="inlineStr">
        <is>
          <t>GPU-Hopper/MASS-Hopper</t>
        </is>
      </c>
      <c r="O65" s="4" t="e">
        <v>#DIV/0!</v>
      </c>
      <c r="P65" s="4" t="e">
        <v>#DIV/0!</v>
      </c>
      <c r="Q65" s="4" t="e">
        <v>#DIV/0!</v>
      </c>
    </row>
    <row r="66">
      <c r="A66" s="4" t="inlineStr">
        <is>
          <t>MASS-Hopper</t>
        </is>
      </c>
      <c r="B66" s="4" t="n"/>
      <c r="C66" s="4" t="n"/>
      <c r="D66" s="4" t="n"/>
      <c r="E66" s="4" t="n"/>
      <c r="F66" s="4" t="n"/>
      <c r="G66" s="4" t="n"/>
      <c r="H66" s="4" t="n"/>
      <c r="I66" s="4" t="inlineStr">
        <is>
          <t>MASS-Hopper</t>
        </is>
      </c>
      <c r="J66" s="4" t="e">
        <v>#DIV/0!</v>
      </c>
      <c r="K66" s="4" t="e">
        <v>#DIV/0!</v>
      </c>
      <c r="L66" s="4" t="e">
        <v>#DIV/0!</v>
      </c>
      <c r="M66" s="4" t="n"/>
      <c r="N66" s="4" t="n"/>
      <c r="O66" s="4" t="n"/>
      <c r="P66" s="4" t="n"/>
      <c r="Q66" s="4" t="n"/>
    </row>
    <row r="67"/>
    <row r="68">
      <c r="A68" s="4" t="inlineStr">
        <is>
          <t>eu</t>
        </is>
      </c>
    </row>
    <row r="69">
      <c r="A69" s="4" t="n"/>
      <c r="B69" s="4" t="inlineStr">
        <is>
          <t>p=0.01%</t>
        </is>
      </c>
      <c r="C69" s="4" t="n"/>
      <c r="D69" s="4" t="n"/>
      <c r="E69" s="4" t="n"/>
      <c r="F69" s="4" t="n"/>
      <c r="G69" s="4" t="n"/>
      <c r="H69" s="4" t="n"/>
      <c r="I69" s="4" t="inlineStr">
        <is>
          <t>ER-p</t>
        </is>
      </c>
      <c r="J69" s="4" t="inlineStr">
        <is>
          <t>p=0.01%</t>
        </is>
      </c>
      <c r="K69" s="4" t="n"/>
      <c r="L69" s="4" t="n"/>
      <c r="M69" s="4" t="n"/>
      <c r="N69" s="4" t="n"/>
      <c r="O69" s="4" t="n"/>
      <c r="P69" s="4" t="n"/>
      <c r="Q69" s="4" t="n"/>
    </row>
    <row r="70">
      <c r="A70" s="4" t="inlineStr">
        <is>
          <t>30 years</t>
        </is>
      </c>
      <c r="B70" s="4" t="n"/>
      <c r="C70" s="4" t="n"/>
      <c r="D70" s="4" t="n"/>
      <c r="E70" s="4" t="n"/>
      <c r="F70" s="4" t="n"/>
      <c r="G70" s="4" t="n"/>
      <c r="H70" s="4" t="n"/>
      <c r="I70" s="4" t="inlineStr">
        <is>
          <t>30 years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</row>
    <row r="71">
      <c r="A71" s="4" t="inlineStr">
        <is>
          <t>TIMING (seconds)</t>
        </is>
      </c>
      <c r="B71" s="4" t="n"/>
      <c r="C71" s="4" t="n"/>
      <c r="D71" s="4" t="n"/>
      <c r="E71" s="4" t="n"/>
      <c r="F71" s="4" t="n"/>
      <c r="G71" s="4" t="n"/>
      <c r="H71" s="4" t="n"/>
      <c r="I71" s="4" t="inlineStr">
        <is>
          <t>Speedup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</row>
    <row r="72">
      <c r="A72" s="4" t="n"/>
      <c r="B72" s="5" t="n">
        <v>0.01</v>
      </c>
      <c r="C72" s="5" t="n">
        <v>0.03</v>
      </c>
      <c r="D72" s="5" t="n">
        <v>0.06</v>
      </c>
      <c r="E72" s="4" t="n"/>
      <c r="F72" s="5" t="n"/>
      <c r="G72" s="5" t="n"/>
      <c r="H72" s="4" t="n"/>
      <c r="I72" s="4" t="n"/>
      <c r="J72" s="5" t="n">
        <v>0.01</v>
      </c>
      <c r="K72" s="5" t="n">
        <v>0.03</v>
      </c>
      <c r="L72" s="5" t="n">
        <v>0.06</v>
      </c>
      <c r="M72" s="5" t="n"/>
      <c r="N72" s="5" t="n"/>
      <c r="O72" s="5" t="n">
        <v>0.01</v>
      </c>
      <c r="P72" s="5" t="n">
        <v>0.03</v>
      </c>
      <c r="Q72" s="5" t="n">
        <v>0.06</v>
      </c>
    </row>
    <row r="73">
      <c r="A73" s="4" t="inlineStr">
        <is>
          <t>CPU-16T (Intel Xeon Platinum 8480+)</t>
        </is>
      </c>
      <c r="B73" s="4" t="n">
        <v>31.939</v>
      </c>
      <c r="C73" s="4" t="n">
        <v>178.164</v>
      </c>
      <c r="D73" s="4" t="n">
        <v>1339.937</v>
      </c>
      <c r="E73" s="4" t="n"/>
      <c r="F73" s="4" t="n"/>
      <c r="G73" s="4" t="n"/>
      <c r="H73" s="4" t="n"/>
      <c r="I73" s="4" t="inlineStr">
        <is>
          <t>CPU-Serial</t>
        </is>
      </c>
      <c r="J73" s="4" t="e">
        <v>#DIV/0!</v>
      </c>
      <c r="K73" s="4" t="e">
        <v>#DIV/0!</v>
      </c>
      <c r="L73" s="4" t="e">
        <v>#DIV/0!</v>
      </c>
      <c r="M73" s="4" t="n"/>
      <c r="N73" s="4" t="n"/>
      <c r="O73" s="4" t="n"/>
      <c r="P73" s="4" t="n"/>
      <c r="Q73" s="4" t="n"/>
    </row>
    <row r="74">
      <c r="A74" s="4" t="inlineStr">
        <is>
          <t>GPU-Hopper</t>
        </is>
      </c>
      <c r="B74" s="4" t="n">
        <v>19</v>
      </c>
      <c r="C74" s="4" t="n">
        <v>44</v>
      </c>
      <c r="D74" s="4" t="n">
        <v>145</v>
      </c>
      <c r="E74" s="4" t="n"/>
      <c r="F74" s="4" t="n"/>
      <c r="G74" s="4" t="n"/>
      <c r="H74" s="4" t="n"/>
      <c r="I74" s="4" t="inlineStr">
        <is>
          <t>GPU-Hopper</t>
        </is>
      </c>
      <c r="J74" s="4" t="e">
        <v>#DIV/0!</v>
      </c>
      <c r="K74" s="4" t="e">
        <v>#DIV/0!</v>
      </c>
      <c r="L74" s="4" t="e">
        <v>#DIV/0!</v>
      </c>
      <c r="M74" s="4" t="n"/>
      <c r="N74" s="4" t="inlineStr">
        <is>
          <t>GPU-Hopper/MASS-Hopper</t>
        </is>
      </c>
      <c r="O74" s="4" t="e">
        <v>#DIV/0!</v>
      </c>
      <c r="P74" s="4" t="e">
        <v>#DIV/0!</v>
      </c>
      <c r="Q74" s="4" t="e">
        <v>#DIV/0!</v>
      </c>
    </row>
    <row r="75">
      <c r="A75" s="4" t="inlineStr">
        <is>
          <t>MASS-Hopper</t>
        </is>
      </c>
      <c r="B75" s="4" t="n"/>
      <c r="C75" s="4" t="n"/>
      <c r="D75" s="4" t="n"/>
      <c r="E75" s="4" t="n"/>
      <c r="F75" s="4" t="n"/>
      <c r="G75" s="4" t="n"/>
      <c r="H75" s="4" t="n"/>
      <c r="I75" s="4" t="inlineStr">
        <is>
          <t>MASS-Hopper</t>
        </is>
      </c>
      <c r="J75" s="4" t="e">
        <v>#DIV/0!</v>
      </c>
      <c r="K75" s="4" t="e">
        <v>#DIV/0!</v>
      </c>
      <c r="L75" s="4" t="e">
        <v>#DIV/0!</v>
      </c>
      <c r="M75" s="4" t="n"/>
      <c r="N75" s="4" t="n"/>
      <c r="O75" s="4" t="n"/>
      <c r="P75" s="4" t="n"/>
      <c r="Q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>
      <c r="A77" s="4" t="inlineStr">
        <is>
          <t>ER-p</t>
        </is>
      </c>
      <c r="B77" s="4" t="inlineStr">
        <is>
          <t>p=0.03%</t>
        </is>
      </c>
      <c r="C77" s="4" t="n"/>
      <c r="D77" s="4" t="n"/>
      <c r="E77" s="4" t="n"/>
      <c r="F77" s="4" t="n"/>
      <c r="G77" s="4" t="n"/>
      <c r="H77" s="4" t="n"/>
      <c r="I77" s="4" t="inlineStr">
        <is>
          <t>ER-p</t>
        </is>
      </c>
      <c r="J77" s="4" t="inlineStr">
        <is>
          <t>p=0.03%</t>
        </is>
      </c>
      <c r="K77" s="4" t="n"/>
      <c r="L77" s="4" t="n"/>
      <c r="M77" s="4" t="n"/>
      <c r="N77" s="4" t="n"/>
      <c r="O77" s="4" t="n"/>
      <c r="P77" s="4" t="n"/>
      <c r="Q77" s="4" t="n"/>
    </row>
    <row r="78">
      <c r="A78" s="4" t="inlineStr">
        <is>
          <t>3 years</t>
        </is>
      </c>
      <c r="B78" s="4" t="n"/>
      <c r="C78" s="4" t="n"/>
      <c r="D78" s="4" t="n"/>
      <c r="E78" s="4" t="n"/>
      <c r="F78" s="4" t="n"/>
      <c r="G78" s="4" t="n"/>
      <c r="H78" s="4" t="n"/>
      <c r="I78" s="4" t="inlineStr">
        <is>
          <t>3 years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</row>
    <row r="79">
      <c r="A79" s="4" t="inlineStr">
        <is>
          <t>TIMING (seconds)</t>
        </is>
      </c>
      <c r="B79" s="4" t="n"/>
      <c r="C79" s="4" t="n"/>
      <c r="D79" s="4" t="n"/>
      <c r="E79" s="4" t="n"/>
      <c r="F79" s="4" t="n"/>
      <c r="G79" s="4" t="n"/>
      <c r="H79" s="4" t="n"/>
      <c r="I79" s="4" t="inlineStr">
        <is>
          <t>Speedup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</row>
    <row r="80">
      <c r="A80" s="4" t="n"/>
      <c r="B80" s="5" t="n">
        <v>0.01</v>
      </c>
      <c r="C80" s="5" t="n">
        <v>0.03</v>
      </c>
      <c r="D80" s="5" t="n">
        <v>0.06</v>
      </c>
      <c r="E80" s="4" t="n"/>
      <c r="F80" s="5" t="n"/>
      <c r="G80" s="5" t="n"/>
      <c r="H80" s="4" t="n"/>
      <c r="I80" s="4" t="n"/>
      <c r="J80" s="5" t="n">
        <v>0.01</v>
      </c>
      <c r="K80" s="5" t="n">
        <v>0.03</v>
      </c>
      <c r="L80" s="5" t="n">
        <v>0.06</v>
      </c>
      <c r="M80" s="4" t="n"/>
      <c r="N80" s="5" t="n"/>
      <c r="O80" s="5" t="n">
        <v>0.01</v>
      </c>
      <c r="P80" s="5" t="n">
        <v>0.03</v>
      </c>
      <c r="Q80" s="5" t="n">
        <v>0.06</v>
      </c>
    </row>
    <row r="81">
      <c r="A81" s="4" t="inlineStr">
        <is>
          <t>CPU-16T (Intel Xeon Platinum 8480+)</t>
        </is>
      </c>
      <c r="B81" s="4" t="n">
        <v>65.663</v>
      </c>
      <c r="C81" s="4" t="n">
        <v>437.591</v>
      </c>
      <c r="D81" s="4" t="n"/>
      <c r="E81" s="4" t="n"/>
      <c r="F81" s="4" t="n"/>
      <c r="G81" s="4" t="n"/>
      <c r="H81" s="4" t="n"/>
      <c r="I81" s="4" t="inlineStr">
        <is>
          <t>CPU-Serial</t>
        </is>
      </c>
      <c r="J81" s="4" t="e">
        <v>#DIV/0!</v>
      </c>
      <c r="K81" s="4" t="e">
        <v>#DIV/0!</v>
      </c>
      <c r="L81" s="4" t="e">
        <v>#DIV/0!</v>
      </c>
      <c r="M81" s="4" t="n"/>
      <c r="N81" s="4" t="n"/>
      <c r="O81" s="4" t="n"/>
      <c r="P81" s="4" t="n"/>
      <c r="Q81" s="4" t="n"/>
    </row>
    <row r="82">
      <c r="A82" s="4" t="inlineStr">
        <is>
          <t>GPU-Hopper</t>
        </is>
      </c>
      <c r="B82" s="4" t="n">
        <v>22</v>
      </c>
      <c r="C82" s="4" t="n">
        <v>58</v>
      </c>
      <c r="D82" s="4" t="n">
        <v>233</v>
      </c>
      <c r="E82" s="4" t="n"/>
      <c r="F82" s="4" t="n"/>
      <c r="G82" s="4" t="n"/>
      <c r="H82" s="4" t="n"/>
      <c r="I82" s="4" t="inlineStr">
        <is>
          <t>GPU-Hopper</t>
        </is>
      </c>
      <c r="J82" s="4" t="e">
        <v>#DIV/0!</v>
      </c>
      <c r="K82" s="4" t="e">
        <v>#DIV/0!</v>
      </c>
      <c r="L82" s="4" t="e">
        <v>#DIV/0!</v>
      </c>
      <c r="M82" s="4" t="n"/>
      <c r="N82" s="4" t="inlineStr">
        <is>
          <t>GPU-Hopper/MASS-Hopper</t>
        </is>
      </c>
      <c r="O82" s="4" t="e">
        <v>#DIV/0!</v>
      </c>
      <c r="P82" s="4" t="e">
        <v>#DIV/0!</v>
      </c>
      <c r="Q82" s="4" t="e">
        <v>#DIV/0!</v>
      </c>
    </row>
    <row r="83">
      <c r="A83" s="4" t="inlineStr">
        <is>
          <t>MASS-Hopper</t>
        </is>
      </c>
      <c r="B83" s="4" t="n"/>
      <c r="C83" s="4" t="n"/>
      <c r="D83" s="4" t="n"/>
      <c r="E83" s="4" t="n"/>
      <c r="F83" s="4" t="n"/>
      <c r="G83" s="4" t="n"/>
      <c r="H83" s="4" t="n"/>
      <c r="I83" s="4" t="inlineStr">
        <is>
          <t>MASS-Hopper</t>
        </is>
      </c>
      <c r="J83" s="4" t="e">
        <v>#DIV/0!</v>
      </c>
      <c r="K83" s="4" t="e">
        <v>#DIV/0!</v>
      </c>
      <c r="L83" s="4" t="e">
        <v>#DIV/0!</v>
      </c>
      <c r="M83" s="4" t="n"/>
      <c r="N83" s="4" t="n"/>
      <c r="O83" s="4" t="n"/>
      <c r="P83" s="4" t="n"/>
      <c r="Q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</row>
    <row r="85">
      <c r="A85" s="4" t="inlineStr">
        <is>
          <t>ER-p</t>
        </is>
      </c>
      <c r="B85" s="4" t="inlineStr">
        <is>
          <t>p=0.05%</t>
        </is>
      </c>
      <c r="C85" s="4" t="n"/>
      <c r="D85" s="4" t="n"/>
      <c r="E85" s="4" t="n"/>
      <c r="F85" s="4" t="n"/>
      <c r="G85" s="4" t="n"/>
      <c r="H85" s="4" t="n"/>
      <c r="I85" s="4" t="inlineStr">
        <is>
          <t>ER-p</t>
        </is>
      </c>
      <c r="J85" s="4" t="inlineStr">
        <is>
          <t>p=0.05%</t>
        </is>
      </c>
      <c r="K85" s="4" t="n"/>
      <c r="L85" s="4" t="n"/>
      <c r="M85" s="4" t="n"/>
      <c r="N85" s="4" t="n"/>
      <c r="O85" s="4" t="n"/>
      <c r="P85" s="4" t="n"/>
      <c r="Q85" s="4" t="n"/>
    </row>
    <row r="86">
      <c r="A86" s="4" t="inlineStr">
        <is>
          <t>30 years</t>
        </is>
      </c>
      <c r="B86" s="4" t="n"/>
      <c r="C86" s="4" t="n"/>
      <c r="D86" s="4" t="n"/>
      <c r="E86" s="4" t="n"/>
      <c r="F86" s="4" t="n"/>
      <c r="G86" s="4" t="n"/>
      <c r="H86" s="4" t="n"/>
      <c r="I86" s="4" t="inlineStr">
        <is>
          <t>30 years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</row>
    <row r="87">
      <c r="A87" s="4" t="inlineStr">
        <is>
          <t>TIMING (seconds)</t>
        </is>
      </c>
      <c r="B87" s="4" t="n"/>
      <c r="C87" s="4" t="n"/>
      <c r="D87" s="4" t="n"/>
      <c r="E87" s="4" t="n"/>
      <c r="F87" s="4" t="n"/>
      <c r="G87" s="4" t="n"/>
      <c r="H87" s="4" t="n"/>
      <c r="I87" s="4" t="inlineStr">
        <is>
          <t>Speedup</t>
        </is>
      </c>
      <c r="J87" s="4" t="n"/>
      <c r="K87" s="4" t="n"/>
      <c r="L87" s="4" t="n"/>
      <c r="M87" s="5" t="n"/>
      <c r="N87" s="5" t="n"/>
      <c r="O87" s="5" t="n"/>
      <c r="P87" s="5" t="n"/>
      <c r="Q87" s="5" t="n"/>
    </row>
    <row r="88">
      <c r="A88" s="4" t="n"/>
      <c r="B88" s="5" t="n">
        <v>0.01</v>
      </c>
      <c r="C88" s="5" t="n">
        <v>0.03</v>
      </c>
      <c r="D88" s="5" t="n">
        <v>0.06</v>
      </c>
      <c r="E88" s="4" t="n"/>
      <c r="F88" s="5" t="n"/>
      <c r="G88" s="5" t="n"/>
      <c r="H88" s="4" t="n"/>
      <c r="I88" s="4" t="n"/>
      <c r="J88" s="5" t="n">
        <v>0.01</v>
      </c>
      <c r="K88" s="5" t="n">
        <v>0.03</v>
      </c>
      <c r="L88" s="5" t="n">
        <v>0.06</v>
      </c>
      <c r="M88" s="4" t="n"/>
      <c r="N88" s="5" t="n"/>
      <c r="O88" s="5" t="n">
        <v>0.01</v>
      </c>
      <c r="P88" s="5" t="n">
        <v>0.03</v>
      </c>
      <c r="Q88" s="5" t="n">
        <v>0.06</v>
      </c>
    </row>
    <row r="89">
      <c r="A89" s="4" t="inlineStr">
        <is>
          <t>CPU-16T (Intel Xeon Platinum 8480+)</t>
        </is>
      </c>
      <c r="B89" s="4" t="n">
        <v>84.767</v>
      </c>
      <c r="C89" s="4" t="n">
        <v>594.4589999999999</v>
      </c>
      <c r="D89" s="4" t="n"/>
      <c r="E89" s="4" t="n"/>
      <c r="F89" s="4" t="n"/>
      <c r="G89" s="4" t="n"/>
      <c r="H89" s="4" t="n"/>
      <c r="I89" s="4" t="inlineStr">
        <is>
          <t>CPU-Serial</t>
        </is>
      </c>
      <c r="J89" s="4" t="e">
        <v>#DIV/0!</v>
      </c>
      <c r="K89" s="4" t="e">
        <v>#DIV/0!</v>
      </c>
      <c r="L89" s="4" t="e">
        <v>#DIV/0!</v>
      </c>
      <c r="M89" s="4" t="n"/>
      <c r="N89" s="4" t="n"/>
      <c r="O89" s="4" t="n"/>
      <c r="P89" s="4" t="n"/>
      <c r="Q89" s="4" t="n"/>
    </row>
    <row r="90">
      <c r="A90" s="4" t="inlineStr">
        <is>
          <t>GPU-Hopper</t>
        </is>
      </c>
      <c r="B90" s="4" t="n">
        <v>23</v>
      </c>
      <c r="C90" s="4" t="n">
        <v>69</v>
      </c>
      <c r="D90" s="4" t="n"/>
      <c r="E90" s="4" t="n"/>
      <c r="F90" s="4" t="n"/>
      <c r="G90" s="4" t="n"/>
      <c r="H90" s="4" t="n"/>
      <c r="I90" s="4" t="inlineStr">
        <is>
          <t>GPU-Hopper</t>
        </is>
      </c>
      <c r="J90" s="4" t="e">
        <v>#DIV/0!</v>
      </c>
      <c r="K90" s="4" t="e">
        <v>#DIV/0!</v>
      </c>
      <c r="L90" s="4" t="e">
        <v>#DIV/0!</v>
      </c>
      <c r="M90" s="4" t="n"/>
      <c r="N90" s="4" t="inlineStr">
        <is>
          <t>GPU-Hopper/MASS-Hopper</t>
        </is>
      </c>
      <c r="O90" s="4" t="e">
        <v>#DIV/0!</v>
      </c>
      <c r="P90" s="4" t="e">
        <v>#DIV/0!</v>
      </c>
      <c r="Q90" s="4" t="e">
        <v>#DIV/0!</v>
      </c>
    </row>
    <row r="91">
      <c r="A91" s="4" t="inlineStr">
        <is>
          <t>MASS-Hopper</t>
        </is>
      </c>
      <c r="B91" s="4" t="n"/>
      <c r="C91" s="4" t="n"/>
      <c r="D91" s="4" t="n"/>
      <c r="E91" s="4" t="n"/>
      <c r="F91" s="4" t="n"/>
      <c r="G91" s="4" t="n"/>
      <c r="H91" s="4" t="n"/>
      <c r="I91" s="4" t="inlineStr">
        <is>
          <t>MASS-Hopper</t>
        </is>
      </c>
      <c r="J91" s="4" t="e">
        <v>#DIV/0!</v>
      </c>
      <c r="K91" s="4" t="e">
        <v>#DIV/0!</v>
      </c>
      <c r="L91" s="4" t="e">
        <v>#DIV/0!</v>
      </c>
      <c r="M91" s="4" t="n"/>
      <c r="N91" s="4" t="n"/>
      <c r="O91" s="4" t="n"/>
      <c r="P91" s="4" t="n"/>
      <c r="Q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>
      <c r="A93" s="4" t="inlineStr">
        <is>
          <t>ER-p</t>
        </is>
      </c>
      <c r="B93" s="4" t="inlineStr">
        <is>
          <t>p=0.1%</t>
        </is>
      </c>
      <c r="C93" s="4" t="n"/>
      <c r="D93" s="4" t="n"/>
      <c r="E93" s="4" t="n"/>
      <c r="F93" s="4" t="n"/>
      <c r="G93" s="4" t="n"/>
      <c r="H93" s="4" t="n"/>
      <c r="I93" s="4" t="inlineStr">
        <is>
          <t>ER-p</t>
        </is>
      </c>
      <c r="J93" s="4" t="inlineStr">
        <is>
          <t>p=0.1%</t>
        </is>
      </c>
      <c r="K93" s="4" t="n"/>
      <c r="L93" s="4" t="n"/>
      <c r="M93" s="4" t="n"/>
      <c r="N93" s="4" t="n"/>
      <c r="O93" s="4" t="n"/>
      <c r="P93" s="4" t="n"/>
      <c r="Q93" s="4" t="n"/>
    </row>
    <row r="94">
      <c r="A94" s="4" t="inlineStr">
        <is>
          <t>3 years</t>
        </is>
      </c>
      <c r="B94" s="4" t="n"/>
      <c r="C94" s="4" t="n"/>
      <c r="D94" s="4" t="n"/>
      <c r="E94" s="4" t="n"/>
      <c r="F94" s="4" t="n"/>
      <c r="G94" s="4" t="n"/>
      <c r="H94" s="4" t="n"/>
      <c r="I94" s="4" t="inlineStr">
        <is>
          <t>3 years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</row>
    <row r="95">
      <c r="A95" s="4" t="inlineStr">
        <is>
          <t>TIMING (seconds)</t>
        </is>
      </c>
      <c r="B95" s="4" t="n"/>
      <c r="C95" s="4" t="n"/>
      <c r="D95" s="4" t="n"/>
      <c r="E95" s="4" t="n"/>
      <c r="F95" s="4" t="n"/>
      <c r="G95" s="4" t="n"/>
      <c r="H95" s="4" t="n"/>
      <c r="I95" s="4" t="inlineStr">
        <is>
          <t>Speedup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</row>
    <row r="96">
      <c r="A96" s="4" t="n"/>
      <c r="B96" s="5" t="n">
        <v>0.01</v>
      </c>
      <c r="C96" s="5" t="n">
        <v>0.03</v>
      </c>
      <c r="D96" s="5" t="n">
        <v>0.06</v>
      </c>
      <c r="E96" s="4" t="n"/>
      <c r="F96" s="5" t="n"/>
      <c r="G96" s="5" t="n"/>
      <c r="H96" s="4" t="n"/>
      <c r="I96" s="4" t="n"/>
      <c r="J96" s="5" t="n">
        <v>0.01</v>
      </c>
      <c r="K96" s="5" t="n">
        <v>0.03</v>
      </c>
      <c r="L96" s="5" t="n">
        <v>0.06</v>
      </c>
      <c r="M96" s="5" t="n"/>
      <c r="N96" s="5" t="n"/>
      <c r="O96" s="5" t="n">
        <v>0.01</v>
      </c>
      <c r="P96" s="5" t="n">
        <v>0.03</v>
      </c>
      <c r="Q96" s="5" t="n">
        <v>0.06</v>
      </c>
    </row>
    <row r="97">
      <c r="A97" s="4" t="inlineStr">
        <is>
          <t>CPU-16T (Intel Xeon Platinum 8480+)</t>
        </is>
      </c>
      <c r="B97" s="4" t="n">
        <v>157.696</v>
      </c>
      <c r="C97" s="4" t="n">
        <v>1139.531</v>
      </c>
      <c r="D97" s="4" t="n"/>
      <c r="E97" s="4" t="n"/>
      <c r="F97" s="4" t="n"/>
      <c r="G97" s="4" t="n"/>
      <c r="H97" s="4" t="n"/>
      <c r="I97" s="4" t="inlineStr">
        <is>
          <t>CPU-Serial</t>
        </is>
      </c>
      <c r="J97" s="4" t="e">
        <v>#DIV/0!</v>
      </c>
      <c r="K97" s="4" t="e">
        <v>#DIV/0!</v>
      </c>
      <c r="L97" s="4" t="e">
        <v>#DIV/0!</v>
      </c>
      <c r="M97" s="4" t="n"/>
      <c r="N97" s="4" t="n"/>
      <c r="O97" s="4" t="n"/>
      <c r="P97" s="4" t="n"/>
      <c r="Q97" s="4" t="n"/>
    </row>
    <row r="98">
      <c r="A98" s="4" t="inlineStr">
        <is>
          <t>GPU-Hopper</t>
        </is>
      </c>
      <c r="B98" s="4" t="n"/>
      <c r="C98" s="4" t="n"/>
      <c r="D98" s="4" t="n"/>
      <c r="E98" s="4" t="n"/>
      <c r="F98" s="4" t="n"/>
      <c r="G98" s="4" t="n"/>
      <c r="H98" s="4" t="n"/>
      <c r="I98" s="4" t="inlineStr">
        <is>
          <t>GPU-Hopper</t>
        </is>
      </c>
      <c r="J98" s="4" t="e">
        <v>#DIV/0!</v>
      </c>
      <c r="K98" s="4" t="e">
        <v>#DIV/0!</v>
      </c>
      <c r="L98" s="4" t="e">
        <v>#DIV/0!</v>
      </c>
      <c r="M98" s="4" t="n"/>
      <c r="N98" s="4" t="inlineStr">
        <is>
          <t>GPU-Hopper/MASS-Hopper</t>
        </is>
      </c>
      <c r="O98" s="4" t="e">
        <v>#DIV/0!</v>
      </c>
      <c r="P98" s="4" t="e">
        <v>#DIV/0!</v>
      </c>
      <c r="Q98" s="4" t="e">
        <v>#DIV/0!</v>
      </c>
    </row>
    <row r="99">
      <c r="A99" s="4" t="inlineStr">
        <is>
          <t>MASS-Hopper</t>
        </is>
      </c>
      <c r="B99" s="4" t="n"/>
      <c r="C99" s="4" t="n"/>
      <c r="D99" s="4" t="n"/>
      <c r="E99" s="4" t="n"/>
      <c r="F99" s="4" t="n"/>
      <c r="G99" s="4" t="n"/>
      <c r="H99" s="4" t="n"/>
      <c r="I99" s="4" t="inlineStr">
        <is>
          <t>MASS-Hopper</t>
        </is>
      </c>
      <c r="J99" s="4" t="e">
        <v>#DIV/0!</v>
      </c>
      <c r="K99" s="4" t="e">
        <v>#DIV/0!</v>
      </c>
      <c r="L99" s="4" t="e">
        <v>#DIV/0!</v>
      </c>
      <c r="M99" s="4" t="n"/>
      <c r="N99" s="4" t="n"/>
      <c r="O99" s="4" t="n"/>
      <c r="P99" s="4" t="n"/>
      <c r="Q99" s="4" t="n"/>
    </row>
    <row r="100"/>
    <row r="101">
      <c r="A101" s="4" t="inlineStr">
        <is>
          <t>yutb</t>
        </is>
      </c>
    </row>
    <row r="102">
      <c r="A102" s="4" t="n"/>
      <c r="B102" s="4" t="inlineStr">
        <is>
          <t>p=0.01%</t>
        </is>
      </c>
      <c r="C102" s="4" t="n"/>
      <c r="D102" s="4" t="n"/>
      <c r="E102" s="4" t="n"/>
      <c r="F102" s="4" t="n"/>
      <c r="G102" s="4" t="n"/>
      <c r="H102" s="4" t="n"/>
      <c r="I102" s="4" t="inlineStr">
        <is>
          <t>ER-p</t>
        </is>
      </c>
      <c r="J102" s="4" t="inlineStr">
        <is>
          <t>p=0.01%</t>
        </is>
      </c>
      <c r="K102" s="4" t="n"/>
      <c r="L102" s="4" t="n"/>
      <c r="M102" s="4" t="n"/>
      <c r="N102" s="4" t="n"/>
      <c r="O102" s="4" t="n"/>
      <c r="P102" s="4" t="n"/>
      <c r="Q102" s="4" t="n"/>
    </row>
    <row r="103">
      <c r="A103" s="4" t="inlineStr">
        <is>
          <t>30 years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inlineStr">
        <is>
          <t>30 years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</row>
    <row r="104">
      <c r="A104" s="4" t="inlineStr">
        <is>
          <t>TIMING (seconds)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inlineStr">
        <is>
          <t>Speedup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</row>
    <row r="105">
      <c r="A105" s="4" t="n"/>
      <c r="B105" s="5" t="n">
        <v>0.01</v>
      </c>
      <c r="C105" s="5" t="n">
        <v>0.03</v>
      </c>
      <c r="D105" s="5" t="n">
        <v>0.06</v>
      </c>
      <c r="E105" s="4" t="n"/>
      <c r="F105" s="5" t="n"/>
      <c r="G105" s="5" t="n"/>
      <c r="H105" s="4" t="n"/>
      <c r="I105" s="4" t="n"/>
      <c r="J105" s="5" t="n">
        <v>0.01</v>
      </c>
      <c r="K105" s="5" t="n">
        <v>0.03</v>
      </c>
      <c r="L105" s="5" t="n">
        <v>0.06</v>
      </c>
      <c r="M105" s="5" t="n"/>
      <c r="N105" s="5" t="n"/>
      <c r="O105" s="5" t="n">
        <v>0.01</v>
      </c>
      <c r="P105" s="5" t="n">
        <v>0.03</v>
      </c>
      <c r="Q105" s="5" t="n">
        <v>0.06</v>
      </c>
    </row>
    <row r="106">
      <c r="A106" s="4" t="inlineStr">
        <is>
          <t>CPU-16T (Intel Xeon Platinum 8480+)</t>
        </is>
      </c>
      <c r="B106" s="4" t="n">
        <v>636.032</v>
      </c>
      <c r="C106" s="4" t="n"/>
      <c r="D106" s="4" t="n"/>
      <c r="E106" s="4" t="n"/>
      <c r="F106" s="4" t="n"/>
      <c r="G106" s="4" t="n"/>
      <c r="H106" s="4" t="n"/>
      <c r="I106" s="4" t="inlineStr">
        <is>
          <t>CPU-Serial</t>
        </is>
      </c>
      <c r="J106" s="4" t="e">
        <v>#DIV/0!</v>
      </c>
      <c r="K106" s="4" t="e">
        <v>#DIV/0!</v>
      </c>
      <c r="L106" s="4" t="e">
        <v>#DIV/0!</v>
      </c>
      <c r="M106" s="4" t="n"/>
      <c r="N106" s="4" t="n"/>
      <c r="O106" s="4" t="n"/>
      <c r="P106" s="4" t="n"/>
      <c r="Q106" s="4" t="n"/>
    </row>
    <row r="107">
      <c r="A107" s="4" t="inlineStr">
        <is>
          <t>GPU-Hopper</t>
        </is>
      </c>
      <c r="B107" s="4" t="n">
        <v>121</v>
      </c>
      <c r="C107" s="4" t="n">
        <v>315</v>
      </c>
      <c r="D107" s="4" t="n"/>
      <c r="E107" s="4" t="n"/>
      <c r="F107" s="4" t="n"/>
      <c r="G107" s="4" t="n"/>
      <c r="H107" s="4" t="n"/>
      <c r="I107" s="4" t="inlineStr">
        <is>
          <t>GPU-Hopper</t>
        </is>
      </c>
      <c r="J107" s="4" t="e">
        <v>#DIV/0!</v>
      </c>
      <c r="K107" s="4" t="e">
        <v>#DIV/0!</v>
      </c>
      <c r="L107" s="4" t="e">
        <v>#DIV/0!</v>
      </c>
      <c r="M107" s="4" t="n"/>
      <c r="N107" s="4" t="inlineStr">
        <is>
          <t>GPU-Hopper/MASS-Hopper</t>
        </is>
      </c>
      <c r="O107" s="4" t="e">
        <v>#DIV/0!</v>
      </c>
      <c r="P107" s="4" t="e">
        <v>#DIV/0!</v>
      </c>
      <c r="Q107" s="4" t="e">
        <v>#DIV/0!</v>
      </c>
    </row>
    <row r="108">
      <c r="A108" s="4" t="inlineStr">
        <is>
          <t>MASS-Hopper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inlineStr">
        <is>
          <t>MASS-Hopper</t>
        </is>
      </c>
      <c r="J108" s="4" t="e">
        <v>#DIV/0!</v>
      </c>
      <c r="K108" s="4" t="e">
        <v>#DIV/0!</v>
      </c>
      <c r="L108" s="4" t="e">
        <v>#DIV/0!</v>
      </c>
      <c r="M108" s="4" t="n"/>
      <c r="N108" s="4" t="n"/>
      <c r="O108" s="4" t="n"/>
      <c r="P108" s="4" t="n"/>
      <c r="Q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</row>
    <row r="110">
      <c r="A110" s="4" t="inlineStr">
        <is>
          <t>ER-p</t>
        </is>
      </c>
      <c r="B110" s="4" t="inlineStr">
        <is>
          <t>p=0.03%</t>
        </is>
      </c>
      <c r="C110" s="4" t="n"/>
      <c r="D110" s="4" t="n"/>
      <c r="E110" s="4" t="n"/>
      <c r="F110" s="4" t="n"/>
      <c r="G110" s="4" t="n"/>
      <c r="H110" s="4" t="n"/>
      <c r="I110" s="4" t="inlineStr">
        <is>
          <t>ER-p</t>
        </is>
      </c>
      <c r="J110" s="4" t="inlineStr">
        <is>
          <t>p=0.03%</t>
        </is>
      </c>
      <c r="K110" s="4" t="n"/>
      <c r="L110" s="4" t="n"/>
      <c r="M110" s="4" t="n"/>
      <c r="N110" s="4" t="n"/>
      <c r="O110" s="4" t="n"/>
      <c r="P110" s="4" t="n"/>
      <c r="Q110" s="4" t="n"/>
    </row>
    <row r="111">
      <c r="A111" s="4" t="inlineStr">
        <is>
          <t>3 years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inlineStr">
        <is>
          <t>3 years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</row>
    <row r="112">
      <c r="A112" s="4" t="inlineStr">
        <is>
          <t>TIMING (seconds)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inlineStr">
        <is>
          <t>Speedup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</row>
    <row r="113">
      <c r="A113" s="4" t="n"/>
      <c r="B113" s="5" t="n">
        <v>0.01</v>
      </c>
      <c r="C113" s="5" t="n">
        <v>0.03</v>
      </c>
      <c r="D113" s="5" t="n">
        <v>0.06</v>
      </c>
      <c r="E113" s="4" t="n"/>
      <c r="F113" s="5" t="n"/>
      <c r="G113" s="5" t="n"/>
      <c r="H113" s="4" t="n"/>
      <c r="I113" s="4" t="n"/>
      <c r="J113" s="5" t="n">
        <v>0.01</v>
      </c>
      <c r="K113" s="5" t="n">
        <v>0.03</v>
      </c>
      <c r="L113" s="5" t="n">
        <v>0.06</v>
      </c>
      <c r="M113" s="4" t="n"/>
      <c r="N113" s="5" t="n"/>
      <c r="O113" s="5" t="n">
        <v>0.01</v>
      </c>
      <c r="P113" s="5" t="n">
        <v>0.03</v>
      </c>
      <c r="Q113" s="5" t="n">
        <v>0.06</v>
      </c>
    </row>
    <row r="114">
      <c r="A114" s="4" t="inlineStr">
        <is>
          <t>CPU-16T (Intel Xeon Platinum 8480+)</t>
        </is>
      </c>
      <c r="B114" s="4" t="n">
        <v>1580.217</v>
      </c>
      <c r="C114" s="4" t="n"/>
      <c r="D114" s="4" t="n"/>
      <c r="E114" s="4" t="n"/>
      <c r="F114" s="4" t="n"/>
      <c r="G114" s="4" t="n"/>
      <c r="H114" s="4" t="n"/>
      <c r="I114" s="4" t="inlineStr">
        <is>
          <t>CPU-Serial</t>
        </is>
      </c>
      <c r="J114" s="4" t="e">
        <v>#DIV/0!</v>
      </c>
      <c r="K114" s="4" t="e">
        <v>#DIV/0!</v>
      </c>
      <c r="L114" s="4" t="e">
        <v>#DIV/0!</v>
      </c>
      <c r="M114" s="4" t="n"/>
      <c r="N114" s="4" t="n"/>
      <c r="O114" s="4" t="n"/>
      <c r="P114" s="4" t="n"/>
      <c r="Q114" s="4" t="n"/>
    </row>
    <row r="115">
      <c r="A115" s="4" t="inlineStr">
        <is>
          <t>GPU-Hopper</t>
        </is>
      </c>
      <c r="B115" s="4" t="n">
        <v>162</v>
      </c>
      <c r="C115" s="4" t="n">
        <v>564</v>
      </c>
      <c r="D115" s="4" t="n"/>
      <c r="E115" s="4" t="n"/>
      <c r="F115" s="4" t="n"/>
      <c r="G115" s="4" t="n"/>
      <c r="H115" s="4" t="n"/>
      <c r="I115" s="4" t="inlineStr">
        <is>
          <t>GPU-Hopper</t>
        </is>
      </c>
      <c r="J115" s="4" t="e">
        <v>#DIV/0!</v>
      </c>
      <c r="K115" s="4" t="e">
        <v>#DIV/0!</v>
      </c>
      <c r="L115" s="4" t="e">
        <v>#DIV/0!</v>
      </c>
      <c r="M115" s="4" t="n"/>
      <c r="N115" s="4" t="inlineStr">
        <is>
          <t>GPU-Hopper/MASS-Hopper</t>
        </is>
      </c>
      <c r="O115" s="4" t="e">
        <v>#DIV/0!</v>
      </c>
      <c r="P115" s="4" t="e">
        <v>#DIV/0!</v>
      </c>
      <c r="Q115" s="4" t="e">
        <v>#DIV/0!</v>
      </c>
    </row>
    <row r="116">
      <c r="A116" s="4" t="inlineStr">
        <is>
          <t>MASS-Hopper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inlineStr">
        <is>
          <t>MASS-Hopper</t>
        </is>
      </c>
      <c r="J116" s="4" t="e">
        <v>#DIV/0!</v>
      </c>
      <c r="K116" s="4" t="e">
        <v>#DIV/0!</v>
      </c>
      <c r="L116" s="4" t="e">
        <v>#DIV/0!</v>
      </c>
      <c r="M116" s="4" t="n"/>
      <c r="N116" s="4" t="n"/>
      <c r="O116" s="4" t="n"/>
      <c r="P116" s="4" t="n"/>
      <c r="Q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</row>
    <row r="118">
      <c r="A118" s="4" t="inlineStr">
        <is>
          <t>ER-p</t>
        </is>
      </c>
      <c r="B118" s="4" t="inlineStr">
        <is>
          <t>p=0.05%</t>
        </is>
      </c>
      <c r="C118" s="4" t="n"/>
      <c r="D118" s="4" t="n"/>
      <c r="E118" s="4" t="n"/>
      <c r="F118" s="4" t="n"/>
      <c r="G118" s="4" t="n"/>
      <c r="H118" s="4" t="n"/>
      <c r="I118" s="4" t="inlineStr">
        <is>
          <t>ER-p</t>
        </is>
      </c>
      <c r="J118" s="4" t="inlineStr">
        <is>
          <t>p=0.05%</t>
        </is>
      </c>
      <c r="K118" s="4" t="n"/>
      <c r="L118" s="4" t="n"/>
      <c r="M118" s="4" t="n"/>
      <c r="N118" s="4" t="n"/>
      <c r="O118" s="4" t="n"/>
      <c r="P118" s="4" t="n"/>
      <c r="Q118" s="4" t="n"/>
    </row>
    <row r="119">
      <c r="A119" s="4" t="inlineStr">
        <is>
          <t>30 years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inlineStr">
        <is>
          <t>30 years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</row>
    <row r="120">
      <c r="A120" s="4" t="inlineStr">
        <is>
          <t>TIMING (seconds)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inlineStr">
        <is>
          <t>Speedup</t>
        </is>
      </c>
      <c r="J120" s="4" t="n"/>
      <c r="K120" s="4" t="n"/>
      <c r="L120" s="4" t="n"/>
      <c r="M120" s="5" t="n"/>
      <c r="N120" s="5" t="n"/>
      <c r="O120" s="5" t="n"/>
      <c r="P120" s="5" t="n"/>
      <c r="Q120" s="5" t="n"/>
    </row>
    <row r="121">
      <c r="A121" s="4" t="n"/>
      <c r="B121" s="5" t="n">
        <v>0.01</v>
      </c>
      <c r="C121" s="5" t="n">
        <v>0.03</v>
      </c>
      <c r="D121" s="5" t="n">
        <v>0.06</v>
      </c>
      <c r="E121" s="4" t="n"/>
      <c r="F121" s="5" t="n"/>
      <c r="G121" s="5" t="n"/>
      <c r="H121" s="4" t="n"/>
      <c r="I121" s="4" t="n"/>
      <c r="J121" s="5" t="n">
        <v>0.01</v>
      </c>
      <c r="K121" s="5" t="n">
        <v>0.03</v>
      </c>
      <c r="L121" s="5" t="n">
        <v>0.06</v>
      </c>
      <c r="M121" s="4" t="n"/>
      <c r="N121" s="5" t="n"/>
      <c r="O121" s="5" t="n">
        <v>0.01</v>
      </c>
      <c r="P121" s="5" t="n">
        <v>0.03</v>
      </c>
      <c r="Q121" s="5" t="n">
        <v>0.06</v>
      </c>
    </row>
    <row r="122">
      <c r="A122" s="4" t="inlineStr">
        <is>
          <t>CPU-16T (Intel Xeon Platinum 8480+)</t>
        </is>
      </c>
      <c r="B122" s="4" t="n">
        <v>2177.478</v>
      </c>
      <c r="C122" s="4" t="n"/>
      <c r="D122" s="4" t="n"/>
      <c r="E122" s="4" t="n"/>
      <c r="F122" s="4" t="n"/>
      <c r="G122" s="4" t="n"/>
      <c r="H122" s="4" t="n"/>
      <c r="I122" s="4" t="inlineStr">
        <is>
          <t>CPU-Serial</t>
        </is>
      </c>
      <c r="J122" s="4" t="e">
        <v>#DIV/0!</v>
      </c>
      <c r="K122" s="4" t="e">
        <v>#DIV/0!</v>
      </c>
      <c r="L122" s="4" t="e">
        <v>#DIV/0!</v>
      </c>
      <c r="M122" s="4" t="n"/>
      <c r="N122" s="4" t="n"/>
      <c r="O122" s="4" t="n"/>
      <c r="P122" s="4" t="n"/>
      <c r="Q122" s="4" t="n"/>
    </row>
    <row r="123">
      <c r="A123" s="4" t="inlineStr">
        <is>
          <t>GPU-Hopper</t>
        </is>
      </c>
      <c r="B123" s="4" t="n">
        <v>199</v>
      </c>
      <c r="C123" s="4" t="n"/>
      <c r="D123" s="4" t="n"/>
      <c r="E123" s="4" t="n"/>
      <c r="F123" s="4" t="n"/>
      <c r="G123" s="4" t="n"/>
      <c r="H123" s="4" t="n"/>
      <c r="I123" s="4" t="inlineStr">
        <is>
          <t>GPU-Hopper</t>
        </is>
      </c>
      <c r="J123" s="4" t="e">
        <v>#DIV/0!</v>
      </c>
      <c r="K123" s="4" t="e">
        <v>#DIV/0!</v>
      </c>
      <c r="L123" s="4" t="e">
        <v>#DIV/0!</v>
      </c>
      <c r="M123" s="4" t="n"/>
      <c r="N123" s="4" t="inlineStr">
        <is>
          <t>GPU-Hopper/MASS-Hopper</t>
        </is>
      </c>
      <c r="O123" s="4" t="e">
        <v>#DIV/0!</v>
      </c>
      <c r="P123" s="4" t="e">
        <v>#DIV/0!</v>
      </c>
      <c r="Q123" s="4" t="e">
        <v>#DIV/0!</v>
      </c>
    </row>
    <row r="124">
      <c r="A124" s="4" t="inlineStr">
        <is>
          <t>MASS-Hopper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inlineStr">
        <is>
          <t>MASS-Hopper</t>
        </is>
      </c>
      <c r="J124" s="4" t="e">
        <v>#DIV/0!</v>
      </c>
      <c r="K124" s="4" t="e">
        <v>#DIV/0!</v>
      </c>
      <c r="L124" s="4" t="e">
        <v>#DIV/0!</v>
      </c>
      <c r="M124" s="4" t="n"/>
      <c r="N124" s="4" t="n"/>
      <c r="O124" s="4" t="n"/>
      <c r="P124" s="4" t="n"/>
      <c r="Q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</row>
    <row r="126">
      <c r="A126" s="4" t="inlineStr">
        <is>
          <t>ER-p</t>
        </is>
      </c>
      <c r="B126" s="4" t="inlineStr">
        <is>
          <t>p=0.1%</t>
        </is>
      </c>
      <c r="C126" s="4" t="n"/>
      <c r="D126" s="4" t="n"/>
      <c r="E126" s="4" t="n"/>
      <c r="F126" s="4" t="n"/>
      <c r="G126" s="4" t="n"/>
      <c r="H126" s="4" t="n"/>
      <c r="I126" s="4" t="inlineStr">
        <is>
          <t>ER-p</t>
        </is>
      </c>
      <c r="J126" s="4" t="inlineStr">
        <is>
          <t>p=0.1%</t>
        </is>
      </c>
      <c r="K126" s="4" t="n"/>
      <c r="L126" s="4" t="n"/>
      <c r="M126" s="4" t="n"/>
      <c r="N126" s="4" t="n"/>
      <c r="O126" s="4" t="n"/>
      <c r="P126" s="4" t="n"/>
      <c r="Q126" s="4" t="n"/>
    </row>
    <row r="127">
      <c r="A127" s="4" t="inlineStr">
        <is>
          <t>3 years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inlineStr">
        <is>
          <t>3 years</t>
        </is>
      </c>
      <c r="J127" s="4" t="n"/>
      <c r="K127" s="4" t="n"/>
      <c r="L127" s="4" t="n"/>
      <c r="M127" s="4" t="n"/>
      <c r="N127" s="4" t="n"/>
      <c r="O127" s="4" t="n"/>
      <c r="P127" s="4" t="n"/>
      <c r="Q127" s="4" t="n"/>
    </row>
    <row r="128">
      <c r="A128" s="4" t="inlineStr">
        <is>
          <t>TIMING (seconds)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inlineStr">
        <is>
          <t>Speedup</t>
        </is>
      </c>
      <c r="J128" s="4" t="n"/>
      <c r="K128" s="4" t="n"/>
      <c r="L128" s="4" t="n"/>
      <c r="M128" s="4" t="n"/>
      <c r="N128" s="4" t="n"/>
      <c r="O128" s="4" t="n"/>
      <c r="P128" s="4" t="n"/>
      <c r="Q128" s="4" t="n"/>
    </row>
    <row r="129">
      <c r="A129" s="4" t="n"/>
      <c r="B129" s="5" t="n">
        <v>0.01</v>
      </c>
      <c r="C129" s="5" t="n">
        <v>0.03</v>
      </c>
      <c r="D129" s="5" t="n">
        <v>0.06</v>
      </c>
      <c r="E129" s="4" t="n"/>
      <c r="F129" s="5" t="n"/>
      <c r="G129" s="5" t="n"/>
      <c r="H129" s="4" t="n"/>
      <c r="I129" s="4" t="n"/>
      <c r="J129" s="5" t="n">
        <v>0.01</v>
      </c>
      <c r="K129" s="5" t="n">
        <v>0.03</v>
      </c>
      <c r="L129" s="5" t="n">
        <v>0.06</v>
      </c>
      <c r="M129" s="5" t="n"/>
      <c r="N129" s="5" t="n"/>
      <c r="O129" s="5" t="n">
        <v>0.01</v>
      </c>
      <c r="P129" s="5" t="n">
        <v>0.03</v>
      </c>
      <c r="Q129" s="5" t="n">
        <v>0.06</v>
      </c>
    </row>
    <row r="130">
      <c r="A130" s="4" t="inlineStr">
        <is>
          <t>CPU-16T (Intel Xeon Platinum 8480+)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inlineStr">
        <is>
          <t>CPU-Serial</t>
        </is>
      </c>
      <c r="J130" s="4" t="e">
        <v>#DIV/0!</v>
      </c>
      <c r="K130" s="4" t="e">
        <v>#DIV/0!</v>
      </c>
      <c r="L130" s="4" t="e">
        <v>#DIV/0!</v>
      </c>
      <c r="M130" s="4" t="n"/>
      <c r="N130" s="4" t="n"/>
      <c r="O130" s="4" t="n"/>
      <c r="P130" s="4" t="n"/>
      <c r="Q130" s="4" t="n"/>
    </row>
    <row r="131">
      <c r="A131" s="4" t="inlineStr">
        <is>
          <t>GPU-Hopper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inlineStr">
        <is>
          <t>GPU-Hopper</t>
        </is>
      </c>
      <c r="J131" s="4" t="e">
        <v>#DIV/0!</v>
      </c>
      <c r="K131" s="4" t="e">
        <v>#DIV/0!</v>
      </c>
      <c r="L131" s="4" t="e">
        <v>#DIV/0!</v>
      </c>
      <c r="M131" s="4" t="n"/>
      <c r="N131" s="4" t="inlineStr">
        <is>
          <t>GPU-Hopper/MASS-Hopper</t>
        </is>
      </c>
      <c r="O131" s="4" t="e">
        <v>#DIV/0!</v>
      </c>
      <c r="P131" s="4" t="e">
        <v>#DIV/0!</v>
      </c>
      <c r="Q131" s="4" t="e">
        <v>#DIV/0!</v>
      </c>
    </row>
    <row r="132">
      <c r="A132" s="4" t="inlineStr">
        <is>
          <t>MASS-Hopper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inlineStr">
        <is>
          <t>MASS-Hopper</t>
        </is>
      </c>
      <c r="J132" s="4" t="e">
        <v>#DIV/0!</v>
      </c>
      <c r="K132" s="4" t="e">
        <v>#DIV/0!</v>
      </c>
      <c r="L132" s="4" t="e">
        <v>#DIV/0!</v>
      </c>
      <c r="M132" s="4" t="n"/>
      <c r="N132" s="4" t="n"/>
      <c r="O132" s="4" t="n"/>
      <c r="P132" s="4" t="n"/>
      <c r="Q132" s="4" t="n"/>
    </row>
    <row r="133"/>
    <row r="134">
      <c r="A134" s="4" t="inlineStr">
        <is>
          <t>twt</t>
        </is>
      </c>
    </row>
    <row r="135">
      <c r="A135" s="4" t="n"/>
      <c r="B135" s="4" t="inlineStr">
        <is>
          <t>p=0.01%</t>
        </is>
      </c>
      <c r="C135" s="4" t="n"/>
      <c r="D135" s="4" t="n"/>
      <c r="E135" s="4" t="n"/>
      <c r="F135" s="4" t="n"/>
      <c r="G135" s="4" t="n"/>
      <c r="H135" s="4" t="n"/>
      <c r="I135" s="4" t="inlineStr">
        <is>
          <t>ER-p</t>
        </is>
      </c>
      <c r="J135" s="4" t="inlineStr">
        <is>
          <t>p=0.01%</t>
        </is>
      </c>
      <c r="K135" s="4" t="n"/>
      <c r="L135" s="4" t="n"/>
      <c r="M135" s="4" t="n"/>
      <c r="N135" s="4" t="n"/>
      <c r="O135" s="4" t="n"/>
      <c r="P135" s="4" t="n"/>
      <c r="Q135" s="4" t="n"/>
    </row>
    <row r="136">
      <c r="A136" s="4" t="inlineStr">
        <is>
          <t>30 years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inlineStr">
        <is>
          <t>30 years</t>
        </is>
      </c>
      <c r="J136" s="4" t="n"/>
      <c r="K136" s="4" t="n"/>
      <c r="L136" s="4" t="n"/>
      <c r="M136" s="4" t="n"/>
      <c r="N136" s="4" t="n"/>
      <c r="O136" s="4" t="n"/>
      <c r="P136" s="4" t="n"/>
      <c r="Q136" s="4" t="n"/>
    </row>
    <row r="137">
      <c r="A137" s="4" t="inlineStr">
        <is>
          <t>TIMING (seconds)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inlineStr">
        <is>
          <t>Speedup</t>
        </is>
      </c>
      <c r="J137" s="4" t="n"/>
      <c r="K137" s="4" t="n"/>
      <c r="L137" s="4" t="n"/>
      <c r="M137" s="4" t="n"/>
      <c r="N137" s="4" t="n"/>
      <c r="O137" s="4" t="n"/>
      <c r="P137" s="4" t="n"/>
      <c r="Q137" s="4" t="n"/>
    </row>
    <row r="138">
      <c r="A138" s="4" t="n"/>
      <c r="B138" s="5" t="n">
        <v>0.01</v>
      </c>
      <c r="C138" s="5" t="n">
        <v>0.03</v>
      </c>
      <c r="D138" s="5" t="n">
        <v>0.06</v>
      </c>
      <c r="E138" s="4" t="n"/>
      <c r="F138" s="5" t="n"/>
      <c r="G138" s="5" t="n"/>
      <c r="H138" s="4" t="n"/>
      <c r="I138" s="4" t="n"/>
      <c r="J138" s="5" t="n">
        <v>0.01</v>
      </c>
      <c r="K138" s="5" t="n">
        <v>0.03</v>
      </c>
      <c r="L138" s="5" t="n">
        <v>0.06</v>
      </c>
      <c r="M138" s="5" t="n"/>
      <c r="N138" s="5" t="n"/>
      <c r="O138" s="5" t="n">
        <v>0.01</v>
      </c>
      <c r="P138" s="5" t="n">
        <v>0.03</v>
      </c>
      <c r="Q138" s="5" t="n">
        <v>0.06</v>
      </c>
    </row>
    <row r="139">
      <c r="A139" s="4" t="inlineStr">
        <is>
          <t>CPU-16T (Intel Xeon Platinum 8480+)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inlineStr">
        <is>
          <t>CPU-Serial</t>
        </is>
      </c>
      <c r="J139" s="4" t="e">
        <v>#DIV/0!</v>
      </c>
      <c r="K139" s="4" t="e">
        <v>#DIV/0!</v>
      </c>
      <c r="L139" s="4" t="e">
        <v>#DIV/0!</v>
      </c>
      <c r="M139" s="4" t="n"/>
      <c r="N139" s="4" t="n"/>
      <c r="O139" s="4" t="n"/>
      <c r="P139" s="4" t="n"/>
      <c r="Q139" s="4" t="n"/>
    </row>
    <row r="140">
      <c r="A140" s="4" t="inlineStr">
        <is>
          <t>GPU-Hopper</t>
        </is>
      </c>
      <c r="B140" s="4" t="n">
        <v>9</v>
      </c>
      <c r="C140" s="4" t="n">
        <v>6</v>
      </c>
      <c r="D140" s="4" t="n">
        <v>38</v>
      </c>
      <c r="E140" s="4" t="n"/>
      <c r="F140" s="4" t="n"/>
      <c r="G140" s="4" t="n"/>
      <c r="H140" s="4" t="n"/>
      <c r="I140" s="4" t="inlineStr">
        <is>
          <t>GPU-Hopper</t>
        </is>
      </c>
      <c r="J140" s="4" t="e">
        <v>#DIV/0!</v>
      </c>
      <c r="K140" s="4" t="e">
        <v>#DIV/0!</v>
      </c>
      <c r="L140" s="4" t="e">
        <v>#DIV/0!</v>
      </c>
      <c r="M140" s="4" t="n"/>
      <c r="N140" s="4" t="inlineStr">
        <is>
          <t>GPU-Hopper/MASS-Hopper</t>
        </is>
      </c>
      <c r="O140" s="4" t="e">
        <v>#DIV/0!</v>
      </c>
      <c r="P140" s="4" t="e">
        <v>#DIV/0!</v>
      </c>
      <c r="Q140" s="4" t="e">
        <v>#DIV/0!</v>
      </c>
    </row>
    <row r="141">
      <c r="A141" s="4" t="inlineStr">
        <is>
          <t>MASS-Hopper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inlineStr">
        <is>
          <t>MASS-Hopper</t>
        </is>
      </c>
      <c r="J141" s="4" t="e">
        <v>#DIV/0!</v>
      </c>
      <c r="K141" s="4" t="e">
        <v>#DIV/0!</v>
      </c>
      <c r="L141" s="4" t="e">
        <v>#DIV/0!</v>
      </c>
      <c r="M141" s="4" t="n"/>
      <c r="N141" s="4" t="n"/>
      <c r="O141" s="4" t="n"/>
      <c r="P141" s="4" t="n"/>
      <c r="Q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>
      <c r="A143" s="4" t="inlineStr">
        <is>
          <t>ER-p</t>
        </is>
      </c>
      <c r="B143" s="4" t="inlineStr">
        <is>
          <t>p=0.03%</t>
        </is>
      </c>
      <c r="C143" s="4" t="n"/>
      <c r="D143" s="4" t="n"/>
      <c r="E143" s="4" t="n"/>
      <c r="F143" s="4" t="n"/>
      <c r="G143" s="4" t="n"/>
      <c r="H143" s="4" t="n"/>
      <c r="I143" s="4" t="inlineStr">
        <is>
          <t>ER-p</t>
        </is>
      </c>
      <c r="J143" s="4" t="inlineStr">
        <is>
          <t>p=0.03%</t>
        </is>
      </c>
      <c r="K143" s="4" t="n"/>
      <c r="L143" s="4" t="n"/>
      <c r="M143" s="4" t="n"/>
      <c r="N143" s="4" t="n"/>
      <c r="O143" s="4" t="n"/>
      <c r="P143" s="4" t="n"/>
      <c r="Q143" s="4" t="n"/>
    </row>
    <row r="144">
      <c r="A144" s="4" t="inlineStr">
        <is>
          <t>3 years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inlineStr">
        <is>
          <t>3 years</t>
        </is>
      </c>
      <c r="J144" s="4" t="n"/>
      <c r="K144" s="4" t="n"/>
      <c r="L144" s="4" t="n"/>
      <c r="M144" s="4" t="n"/>
      <c r="N144" s="4" t="n"/>
      <c r="O144" s="4" t="n"/>
      <c r="P144" s="4" t="n"/>
      <c r="Q144" s="4" t="n"/>
    </row>
    <row r="145">
      <c r="A145" s="4" t="inlineStr">
        <is>
          <t>TIMING (seconds)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inlineStr">
        <is>
          <t>Speedup</t>
        </is>
      </c>
      <c r="J145" s="4" t="n"/>
      <c r="K145" s="4" t="n"/>
      <c r="L145" s="4" t="n"/>
      <c r="M145" s="4" t="n"/>
      <c r="N145" s="4" t="n"/>
      <c r="O145" s="4" t="n"/>
      <c r="P145" s="4" t="n"/>
      <c r="Q145" s="4" t="n"/>
    </row>
    <row r="146">
      <c r="A146" s="4" t="n"/>
      <c r="B146" s="5" t="n">
        <v>0.01</v>
      </c>
      <c r="C146" s="5" t="n">
        <v>0.03</v>
      </c>
      <c r="D146" s="5" t="n">
        <v>0.06</v>
      </c>
      <c r="E146" s="4" t="n"/>
      <c r="F146" s="5" t="n"/>
      <c r="G146" s="5" t="n"/>
      <c r="H146" s="4" t="n"/>
      <c r="I146" s="4" t="n"/>
      <c r="J146" s="5" t="n">
        <v>0.01</v>
      </c>
      <c r="K146" s="5" t="n">
        <v>0.03</v>
      </c>
      <c r="L146" s="5" t="n">
        <v>0.06</v>
      </c>
      <c r="M146" s="4" t="n"/>
      <c r="N146" s="5" t="n"/>
      <c r="O146" s="5" t="n">
        <v>0.01</v>
      </c>
      <c r="P146" s="5" t="n">
        <v>0.03</v>
      </c>
      <c r="Q146" s="5" t="n">
        <v>0.06</v>
      </c>
    </row>
    <row r="147">
      <c r="A147" s="4" t="inlineStr">
        <is>
          <t>CPU-16T (Intel Xeon Platinum 8480+)</t>
        </is>
      </c>
      <c r="B147" s="4" t="n">
        <v>11.843</v>
      </c>
      <c r="C147" s="4" t="n">
        <v>43.582</v>
      </c>
      <c r="D147" s="4" t="n"/>
      <c r="E147" s="4" t="n"/>
      <c r="F147" s="4" t="n"/>
      <c r="G147" s="4" t="n"/>
      <c r="H147" s="4" t="n"/>
      <c r="I147" s="4" t="inlineStr">
        <is>
          <t>CPU-Serial</t>
        </is>
      </c>
      <c r="J147" s="4" t="e">
        <v>#DIV/0!</v>
      </c>
      <c r="K147" s="4" t="e">
        <v>#DIV/0!</v>
      </c>
      <c r="L147" s="4" t="e">
        <v>#DIV/0!</v>
      </c>
      <c r="M147" s="4" t="n"/>
      <c r="N147" s="4" t="n"/>
      <c r="O147" s="4" t="n"/>
      <c r="P147" s="4" t="n"/>
      <c r="Q147" s="4" t="n"/>
    </row>
    <row r="148">
      <c r="A148" s="4" t="inlineStr">
        <is>
          <t>GPU-Hopper</t>
        </is>
      </c>
      <c r="B148" s="4" t="n">
        <v>10</v>
      </c>
      <c r="C148" s="4" t="n">
        <v>17</v>
      </c>
      <c r="D148" s="4" t="n">
        <v>45</v>
      </c>
      <c r="E148" s="4" t="n"/>
      <c r="F148" s="4" t="n"/>
      <c r="G148" s="4" t="n"/>
      <c r="H148" s="4" t="n"/>
      <c r="I148" s="4" t="inlineStr">
        <is>
          <t>GPU-Hopper</t>
        </is>
      </c>
      <c r="J148" s="4" t="e">
        <v>#DIV/0!</v>
      </c>
      <c r="K148" s="4" t="e">
        <v>#DIV/0!</v>
      </c>
      <c r="L148" s="4" t="e">
        <v>#DIV/0!</v>
      </c>
      <c r="M148" s="4" t="n"/>
      <c r="N148" s="4" t="inlineStr">
        <is>
          <t>GPU-Hopper/MASS-Hopper</t>
        </is>
      </c>
      <c r="O148" s="4" t="e">
        <v>#DIV/0!</v>
      </c>
      <c r="P148" s="4" t="e">
        <v>#DIV/0!</v>
      </c>
      <c r="Q148" s="4" t="e">
        <v>#DIV/0!</v>
      </c>
    </row>
    <row r="149">
      <c r="A149" s="4" t="inlineStr">
        <is>
          <t>MASS-Hopper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inlineStr">
        <is>
          <t>MASS-Hopper</t>
        </is>
      </c>
      <c r="J149" s="4" t="e">
        <v>#DIV/0!</v>
      </c>
      <c r="K149" s="4" t="e">
        <v>#DIV/0!</v>
      </c>
      <c r="L149" s="4" t="e">
        <v>#DIV/0!</v>
      </c>
      <c r="M149" s="4" t="n"/>
      <c r="N149" s="4" t="n"/>
      <c r="O149" s="4" t="n"/>
      <c r="P149" s="4" t="n"/>
      <c r="Q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</row>
    <row r="151">
      <c r="A151" s="4" t="inlineStr">
        <is>
          <t>ER-p</t>
        </is>
      </c>
      <c r="B151" s="4" t="inlineStr">
        <is>
          <t>p=0.05%</t>
        </is>
      </c>
      <c r="C151" s="4" t="n"/>
      <c r="D151" s="4" t="n"/>
      <c r="E151" s="4" t="n"/>
      <c r="F151" s="4" t="n"/>
      <c r="G151" s="4" t="n"/>
      <c r="H151" s="4" t="n"/>
      <c r="I151" s="4" t="inlineStr">
        <is>
          <t>ER-p</t>
        </is>
      </c>
      <c r="J151" s="4" t="inlineStr">
        <is>
          <t>p=0.05%</t>
        </is>
      </c>
      <c r="K151" s="4" t="n"/>
      <c r="L151" s="4" t="n"/>
      <c r="M151" s="4" t="n"/>
      <c r="N151" s="4" t="n"/>
      <c r="O151" s="4" t="n"/>
      <c r="P151" s="4" t="n"/>
      <c r="Q151" s="4" t="n"/>
    </row>
    <row r="152">
      <c r="A152" s="4" t="inlineStr">
        <is>
          <t>30 years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inlineStr">
        <is>
          <t>30 years</t>
        </is>
      </c>
      <c r="J152" s="4" t="n"/>
      <c r="K152" s="4" t="n"/>
      <c r="L152" s="4" t="n"/>
      <c r="M152" s="4" t="n"/>
      <c r="N152" s="4" t="n"/>
      <c r="O152" s="4" t="n"/>
      <c r="P152" s="4" t="n"/>
      <c r="Q152" s="4" t="n"/>
    </row>
    <row r="153">
      <c r="A153" s="4" t="inlineStr">
        <is>
          <t>TIMING (seconds)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inlineStr">
        <is>
          <t>Speedup</t>
        </is>
      </c>
      <c r="J153" s="4" t="n"/>
      <c r="K153" s="4" t="n"/>
      <c r="L153" s="4" t="n"/>
      <c r="M153" s="5" t="n"/>
      <c r="N153" s="5" t="n"/>
      <c r="O153" s="5" t="n"/>
      <c r="P153" s="5" t="n"/>
      <c r="Q153" s="5" t="n"/>
    </row>
    <row r="154">
      <c r="A154" s="4" t="n"/>
      <c r="B154" s="5" t="n">
        <v>0.01</v>
      </c>
      <c r="C154" s="5" t="n">
        <v>0.03</v>
      </c>
      <c r="D154" s="5" t="n">
        <v>0.06</v>
      </c>
      <c r="E154" s="4" t="n"/>
      <c r="F154" s="5" t="n"/>
      <c r="G154" s="5" t="n"/>
      <c r="H154" s="4" t="n"/>
      <c r="I154" s="4" t="n"/>
      <c r="J154" s="5" t="n">
        <v>0.01</v>
      </c>
      <c r="K154" s="5" t="n">
        <v>0.03</v>
      </c>
      <c r="L154" s="5" t="n">
        <v>0.06</v>
      </c>
      <c r="M154" s="4" t="n"/>
      <c r="N154" s="5" t="n"/>
      <c r="O154" s="5" t="n">
        <v>0.01</v>
      </c>
      <c r="P154" s="5" t="n">
        <v>0.03</v>
      </c>
      <c r="Q154" s="5" t="n">
        <v>0.06</v>
      </c>
    </row>
    <row r="155">
      <c r="A155" s="4" t="inlineStr">
        <is>
          <t>CPU-16T (Intel Xeon Platinum 8480+)</t>
        </is>
      </c>
      <c r="B155" s="4" t="n">
        <v>12.465</v>
      </c>
      <c r="C155" s="4" t="n">
        <v>50.798</v>
      </c>
      <c r="D155" s="4" t="n"/>
      <c r="E155" s="4" t="n"/>
      <c r="F155" s="4" t="n"/>
      <c r="G155" s="4" t="n"/>
      <c r="H155" s="4" t="n"/>
      <c r="I155" s="4" t="inlineStr">
        <is>
          <t>CPU-Serial</t>
        </is>
      </c>
      <c r="J155" s="4" t="e">
        <v>#DIV/0!</v>
      </c>
      <c r="K155" s="4" t="e">
        <v>#DIV/0!</v>
      </c>
      <c r="L155" s="4" t="e">
        <v>#DIV/0!</v>
      </c>
      <c r="M155" s="4" t="n"/>
      <c r="N155" s="4" t="n"/>
      <c r="O155" s="4" t="n"/>
      <c r="P155" s="4" t="n"/>
      <c r="Q155" s="4" t="n"/>
    </row>
    <row r="156">
      <c r="A156" s="4" t="inlineStr">
        <is>
          <t>GPU-Hopper</t>
        </is>
      </c>
      <c r="B156" s="4" t="n">
        <v>10</v>
      </c>
      <c r="C156" s="4" t="n">
        <v>19</v>
      </c>
      <c r="D156" s="4" t="n"/>
      <c r="E156" s="4" t="n"/>
      <c r="F156" s="4" t="n"/>
      <c r="G156" s="4" t="n"/>
      <c r="H156" s="4" t="n"/>
      <c r="I156" s="4" t="inlineStr">
        <is>
          <t>GPU-Hopper</t>
        </is>
      </c>
      <c r="J156" s="4" t="e">
        <v>#DIV/0!</v>
      </c>
      <c r="K156" s="4" t="e">
        <v>#DIV/0!</v>
      </c>
      <c r="L156" s="4" t="e">
        <v>#DIV/0!</v>
      </c>
      <c r="M156" s="4" t="n"/>
      <c r="N156" s="4" t="inlineStr">
        <is>
          <t>GPU-Hopper/MASS-Hopper</t>
        </is>
      </c>
      <c r="O156" s="4" t="e">
        <v>#DIV/0!</v>
      </c>
      <c r="P156" s="4" t="e">
        <v>#DIV/0!</v>
      </c>
      <c r="Q156" s="4" t="e">
        <v>#DIV/0!</v>
      </c>
    </row>
    <row r="157">
      <c r="A157" s="4" t="inlineStr">
        <is>
          <t>MASS-Hopper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inlineStr">
        <is>
          <t>MASS-Hopper</t>
        </is>
      </c>
      <c r="J157" s="4" t="e">
        <v>#DIV/0!</v>
      </c>
      <c r="K157" s="4" t="e">
        <v>#DIV/0!</v>
      </c>
      <c r="L157" s="4" t="e">
        <v>#DIV/0!</v>
      </c>
      <c r="M157" s="4" t="n"/>
      <c r="N157" s="4" t="n"/>
      <c r="O157" s="4" t="n"/>
      <c r="P157" s="4" t="n"/>
      <c r="Q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</row>
    <row r="159">
      <c r="A159" s="4" t="inlineStr">
        <is>
          <t>ER-p</t>
        </is>
      </c>
      <c r="B159" s="4" t="inlineStr">
        <is>
          <t>p=0.1%</t>
        </is>
      </c>
      <c r="C159" s="4" t="n"/>
      <c r="D159" s="4" t="n"/>
      <c r="E159" s="4" t="n"/>
      <c r="F159" s="4" t="n"/>
      <c r="G159" s="4" t="n"/>
      <c r="H159" s="4" t="n"/>
      <c r="I159" s="4" t="inlineStr">
        <is>
          <t>ER-p</t>
        </is>
      </c>
      <c r="J159" s="4" t="inlineStr">
        <is>
          <t>p=0.1%</t>
        </is>
      </c>
      <c r="K159" s="4" t="n"/>
      <c r="L159" s="4" t="n"/>
      <c r="M159" s="4" t="n"/>
      <c r="N159" s="4" t="n"/>
      <c r="O159" s="4" t="n"/>
      <c r="P159" s="4" t="n"/>
      <c r="Q159" s="4" t="n"/>
    </row>
    <row r="160">
      <c r="A160" s="4" t="inlineStr">
        <is>
          <t>3 years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inlineStr">
        <is>
          <t>3 years</t>
        </is>
      </c>
      <c r="J160" s="4" t="n"/>
      <c r="K160" s="4" t="n"/>
      <c r="L160" s="4" t="n"/>
      <c r="M160" s="4" t="n"/>
      <c r="N160" s="4" t="n"/>
      <c r="O160" s="4" t="n"/>
      <c r="P160" s="4" t="n"/>
      <c r="Q160" s="4" t="n"/>
    </row>
    <row r="161">
      <c r="A161" s="4" t="inlineStr">
        <is>
          <t>TIMING (seconds)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inlineStr">
        <is>
          <t>Speedup</t>
        </is>
      </c>
      <c r="J161" s="4" t="n"/>
      <c r="K161" s="4" t="n"/>
      <c r="L161" s="4" t="n"/>
      <c r="M161" s="4" t="n"/>
      <c r="N161" s="4" t="n"/>
      <c r="O161" s="4" t="n"/>
      <c r="P161" s="4" t="n"/>
      <c r="Q161" s="4" t="n"/>
    </row>
    <row r="162">
      <c r="A162" s="4" t="n"/>
      <c r="B162" s="5" t="n">
        <v>0.01</v>
      </c>
      <c r="C162" s="5" t="n">
        <v>0.03</v>
      </c>
      <c r="D162" s="5" t="n">
        <v>0.06</v>
      </c>
      <c r="E162" s="4" t="n"/>
      <c r="F162" s="5" t="n"/>
      <c r="G162" s="5" t="n"/>
      <c r="H162" s="4" t="n"/>
      <c r="I162" s="4" t="n"/>
      <c r="J162" s="5" t="n">
        <v>0.01</v>
      </c>
      <c r="K162" s="5" t="n">
        <v>0.03</v>
      </c>
      <c r="L162" s="5" t="n">
        <v>0.06</v>
      </c>
      <c r="M162" s="5" t="n"/>
      <c r="N162" s="5" t="n"/>
      <c r="O162" s="5" t="n">
        <v>0.01</v>
      </c>
      <c r="P162" s="5" t="n">
        <v>0.03</v>
      </c>
      <c r="Q162" s="5" t="n">
        <v>0.06</v>
      </c>
    </row>
    <row r="163">
      <c r="A163" s="4" t="inlineStr">
        <is>
          <t>CPU-16T (Intel Xeon Platinum 8480+)</t>
        </is>
      </c>
      <c r="B163" s="4" t="n">
        <v>18.41</v>
      </c>
      <c r="C163" s="4" t="n">
        <v>88.187</v>
      </c>
      <c r="D163" s="4" t="n"/>
      <c r="E163" s="4" t="n"/>
      <c r="F163" s="4" t="n"/>
      <c r="G163" s="4" t="n"/>
      <c r="H163" s="4" t="n"/>
      <c r="I163" s="4" t="inlineStr">
        <is>
          <t>CPU-Serial</t>
        </is>
      </c>
      <c r="J163" s="4" t="e">
        <v>#DIV/0!</v>
      </c>
      <c r="K163" s="4" t="e">
        <v>#DIV/0!</v>
      </c>
      <c r="L163" s="4" t="e">
        <v>#DIV/0!</v>
      </c>
      <c r="M163" s="4" t="n"/>
      <c r="N163" s="4" t="n"/>
      <c r="O163" s="4" t="n"/>
      <c r="P163" s="4" t="n"/>
      <c r="Q163" s="4" t="n"/>
    </row>
    <row r="164">
      <c r="A164" s="4" t="inlineStr">
        <is>
          <t>GPU-Hopper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inlineStr">
        <is>
          <t>GPU-Hopper</t>
        </is>
      </c>
      <c r="J164" s="4" t="e">
        <v>#DIV/0!</v>
      </c>
      <c r="K164" s="4" t="e">
        <v>#DIV/0!</v>
      </c>
      <c r="L164" s="4" t="e">
        <v>#DIV/0!</v>
      </c>
      <c r="M164" s="4" t="n"/>
      <c r="N164" s="4" t="inlineStr">
        <is>
          <t>GPU-Hopper/MASS-Hopper</t>
        </is>
      </c>
      <c r="O164" s="4" t="e">
        <v>#DIV/0!</v>
      </c>
      <c r="P164" s="4" t="e">
        <v>#DIV/0!</v>
      </c>
      <c r="Q164" s="4" t="e">
        <v>#DIV/0!</v>
      </c>
    </row>
    <row r="165">
      <c r="A165" s="4" t="inlineStr">
        <is>
          <t>MASS-Hopper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inlineStr">
        <is>
          <t>MASS-Hopper</t>
        </is>
      </c>
      <c r="J165" s="4" t="e">
        <v>#DIV/0!</v>
      </c>
      <c r="K165" s="4" t="e">
        <v>#DIV/0!</v>
      </c>
      <c r="L165" s="4" t="e">
        <v>#DIV/0!</v>
      </c>
      <c r="M165" s="4" t="n"/>
      <c r="N165" s="4" t="n"/>
      <c r="O165" s="4" t="n"/>
      <c r="P165" s="4" t="n"/>
      <c r="Q165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Jayanta Mukherjee</dc:creator>
  <dcterms:created xsi:type="dcterms:W3CDTF">2026-03-16T14:54:06Z</dcterms:created>
  <dcterms:modified xsi:type="dcterms:W3CDTF">2026-07-07T12:53:07Z</dcterms:modified>
  <cp:lastModifiedBy>Jayanta Mukherjee</cp:lastModifiedBy>
</cp:coreProperties>
</file>